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현재_통합_문서"/>
  <mc:AlternateContent xmlns:mc="http://schemas.openxmlformats.org/markup-compatibility/2006">
    <mc:Choice Requires="x15">
      <x15ac:absPath xmlns:x15ac="http://schemas.microsoft.com/office/spreadsheetml/2010/11/ac" url="C:\Users\pc642\AppData\Local\Microsoft\Windows\INetCache\Content.Outlook\O5UQ3TCH\"/>
    </mc:Choice>
  </mc:AlternateContent>
  <xr:revisionPtr revIDLastSave="0" documentId="13_ncr:1_{C3CD4327-6B09-4945-9F5A-DD1E9C094B66}" xr6:coauthVersionLast="47" xr6:coauthVersionMax="47" xr10:uidLastSave="{00000000-0000-0000-0000-000000000000}"/>
  <bookViews>
    <workbookView xWindow="-120" yWindow="-120" windowWidth="29040" windowHeight="15720" xr2:uid="{00000000-000D-0000-FFFF-FFFF00000000}"/>
  </bookViews>
  <sheets>
    <sheet name="Job progress" sheetId="1" r:id="rId1"/>
    <sheet name="Class item" sheetId="2" r:id="rId2"/>
  </sheets>
  <definedNames>
    <definedName name="_xlnm._FilterDatabase" localSheetId="0" hidden="1">'Job progress'!$B$6:$O$6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1" l="1"/>
  <c r="H3" i="1"/>
  <c r="J325" i="1"/>
  <c r="J324" i="1"/>
  <c r="J321" i="1"/>
  <c r="J320" i="1"/>
  <c r="J317" i="1"/>
  <c r="J316" i="1"/>
  <c r="J313" i="1"/>
  <c r="J312" i="1"/>
  <c r="J308" i="1"/>
  <c r="J304" i="1"/>
  <c r="J302" i="1"/>
  <c r="J301" i="1"/>
  <c r="J297" i="1"/>
  <c r="J296" i="1"/>
  <c r="J319" i="1"/>
  <c r="M319" i="1"/>
  <c r="O319" i="1" s="1"/>
  <c r="M320" i="1"/>
  <c r="O320" i="1"/>
  <c r="M321" i="1"/>
  <c r="O321" i="1" s="1"/>
  <c r="J322" i="1"/>
  <c r="M322" i="1"/>
  <c r="O322" i="1" s="1"/>
  <c r="J323" i="1"/>
  <c r="M323" i="1"/>
  <c r="O323" i="1" s="1"/>
  <c r="M324" i="1"/>
  <c r="O324" i="1" s="1"/>
  <c r="M325" i="1"/>
  <c r="O325" i="1" s="1"/>
  <c r="J326" i="1"/>
  <c r="M326" i="1"/>
  <c r="O326" i="1"/>
  <c r="J327" i="1"/>
  <c r="M327" i="1"/>
  <c r="O327" i="1" s="1"/>
  <c r="J328" i="1"/>
  <c r="M328" i="1"/>
  <c r="O328" i="1" s="1"/>
  <c r="J329" i="1"/>
  <c r="M329" i="1"/>
  <c r="O329" i="1" s="1"/>
  <c r="J330" i="1"/>
  <c r="M330" i="1"/>
  <c r="O330" i="1" s="1"/>
  <c r="J331" i="1"/>
  <c r="M331" i="1"/>
  <c r="O331" i="1" s="1"/>
  <c r="J332" i="1"/>
  <c r="M332" i="1"/>
  <c r="O332" i="1"/>
  <c r="J333" i="1"/>
  <c r="M333" i="1"/>
  <c r="O333" i="1" s="1"/>
  <c r="J334" i="1"/>
  <c r="M334" i="1"/>
  <c r="O334" i="1"/>
  <c r="J335" i="1"/>
  <c r="M335" i="1"/>
  <c r="O335" i="1" s="1"/>
  <c r="J336" i="1"/>
  <c r="M336" i="1"/>
  <c r="O336" i="1"/>
  <c r="J337" i="1"/>
  <c r="M337" i="1"/>
  <c r="O337" i="1" s="1"/>
  <c r="J338" i="1"/>
  <c r="M338" i="1"/>
  <c r="O338" i="1"/>
  <c r="J339" i="1"/>
  <c r="M339" i="1"/>
  <c r="O339" i="1" s="1"/>
  <c r="J340" i="1"/>
  <c r="M340" i="1"/>
  <c r="O340" i="1"/>
  <c r="J341" i="1"/>
  <c r="M341" i="1"/>
  <c r="O341" i="1" s="1"/>
  <c r="J342" i="1"/>
  <c r="M342" i="1"/>
  <c r="O342" i="1"/>
  <c r="J343" i="1"/>
  <c r="M343" i="1"/>
  <c r="O343" i="1" s="1"/>
  <c r="J344" i="1"/>
  <c r="M344" i="1"/>
  <c r="O344" i="1"/>
  <c r="J345" i="1"/>
  <c r="M345" i="1"/>
  <c r="O345" i="1" s="1"/>
  <c r="J346" i="1"/>
  <c r="M346" i="1"/>
  <c r="O346" i="1"/>
  <c r="J347" i="1"/>
  <c r="M347" i="1"/>
  <c r="O347" i="1" s="1"/>
  <c r="J348" i="1"/>
  <c r="M348" i="1"/>
  <c r="O348" i="1"/>
  <c r="J349" i="1"/>
  <c r="M349" i="1"/>
  <c r="O349" i="1" s="1"/>
  <c r="J350" i="1"/>
  <c r="M350" i="1"/>
  <c r="O350" i="1"/>
  <c r="J351" i="1"/>
  <c r="M351" i="1"/>
  <c r="O351" i="1" s="1"/>
  <c r="J352" i="1"/>
  <c r="M352" i="1"/>
  <c r="O352" i="1"/>
  <c r="J353" i="1"/>
  <c r="M353" i="1"/>
  <c r="O353" i="1" s="1"/>
  <c r="J354" i="1"/>
  <c r="M354" i="1"/>
  <c r="O354" i="1"/>
  <c r="J355" i="1"/>
  <c r="M355" i="1"/>
  <c r="O355" i="1" s="1"/>
  <c r="J356" i="1"/>
  <c r="M356" i="1"/>
  <c r="O356" i="1"/>
  <c r="J357" i="1"/>
  <c r="M357" i="1"/>
  <c r="O357" i="1" s="1"/>
  <c r="J358" i="1"/>
  <c r="M358" i="1"/>
  <c r="O358" i="1"/>
  <c r="J359" i="1"/>
  <c r="M359" i="1"/>
  <c r="O359" i="1" s="1"/>
  <c r="J360" i="1"/>
  <c r="M360" i="1"/>
  <c r="O360" i="1"/>
  <c r="J361" i="1"/>
  <c r="M361" i="1"/>
  <c r="O361" i="1" s="1"/>
  <c r="J362" i="1"/>
  <c r="M362" i="1"/>
  <c r="O362" i="1"/>
  <c r="J363" i="1"/>
  <c r="M363" i="1"/>
  <c r="O363" i="1" s="1"/>
  <c r="J364" i="1"/>
  <c r="M364" i="1"/>
  <c r="O364" i="1"/>
  <c r="J365" i="1"/>
  <c r="M365" i="1"/>
  <c r="O365" i="1" s="1"/>
  <c r="J366" i="1"/>
  <c r="M366" i="1"/>
  <c r="O366" i="1"/>
  <c r="J367" i="1"/>
  <c r="M367" i="1"/>
  <c r="O367" i="1" s="1"/>
  <c r="J368" i="1"/>
  <c r="M368" i="1"/>
  <c r="O368" i="1"/>
  <c r="J369" i="1"/>
  <c r="M369" i="1"/>
  <c r="O369" i="1" s="1"/>
  <c r="J370" i="1"/>
  <c r="M370" i="1"/>
  <c r="O370" i="1"/>
  <c r="J291" i="1"/>
  <c r="J285" i="1"/>
  <c r="J283" i="1"/>
  <c r="J277" i="1"/>
  <c r="J272" i="1"/>
  <c r="J271" i="1"/>
  <c r="J269" i="1"/>
  <c r="J267" i="1"/>
  <c r="J264" i="1"/>
  <c r="J259" i="1"/>
  <c r="J254" i="1"/>
  <c r="J253" i="1"/>
  <c r="J251" i="1"/>
  <c r="J246" i="1"/>
  <c r="J245" i="1"/>
  <c r="J235" i="1"/>
  <c r="J233" i="1"/>
  <c r="J225" i="1"/>
  <c r="J222" i="1"/>
  <c r="J215" i="1"/>
  <c r="J214" i="1"/>
  <c r="J213" i="1"/>
  <c r="J206" i="1"/>
  <c r="J204" i="1"/>
  <c r="J203" i="1"/>
  <c r="J201" i="1"/>
  <c r="J200" i="1"/>
  <c r="J197" i="1"/>
  <c r="J196" i="1"/>
  <c r="J195" i="1"/>
  <c r="J193" i="1"/>
  <c r="J188" i="1"/>
  <c r="J187" i="1"/>
  <c r="J184" i="1"/>
  <c r="J182" i="1"/>
  <c r="J180" i="1"/>
  <c r="J179" i="1"/>
  <c r="J173" i="1"/>
  <c r="J172" i="1"/>
  <c r="J171" i="1"/>
  <c r="J168" i="1"/>
  <c r="J165" i="1"/>
  <c r="J163" i="1"/>
  <c r="J158" i="1"/>
  <c r="J156" i="1"/>
  <c r="J155" i="1"/>
  <c r="J153" i="1"/>
  <c r="J152" i="1"/>
  <c r="J149" i="1"/>
  <c r="J147" i="1"/>
  <c r="J146" i="1"/>
  <c r="M146" i="1"/>
  <c r="O146" i="1" s="1"/>
  <c r="M147" i="1"/>
  <c r="O147" i="1"/>
  <c r="J148" i="1"/>
  <c r="M148" i="1"/>
  <c r="O148" i="1" s="1"/>
  <c r="M149" i="1"/>
  <c r="O149" i="1"/>
  <c r="J150" i="1"/>
  <c r="M150" i="1"/>
  <c r="O150" i="1" s="1"/>
  <c r="J151" i="1"/>
  <c r="M151" i="1"/>
  <c r="O151" i="1"/>
  <c r="M152" i="1"/>
  <c r="O152" i="1" s="1"/>
  <c r="M153" i="1"/>
  <c r="J154" i="1"/>
  <c r="M154" i="1"/>
  <c r="O154" i="1" s="1"/>
  <c r="M155" i="1"/>
  <c r="O155" i="1"/>
  <c r="M156" i="1"/>
  <c r="O156" i="1" s="1"/>
  <c r="J157" i="1"/>
  <c r="M157" i="1"/>
  <c r="O157" i="1"/>
  <c r="M158" i="1"/>
  <c r="O158" i="1" s="1"/>
  <c r="J159" i="1"/>
  <c r="M159" i="1"/>
  <c r="O159" i="1"/>
  <c r="J160" i="1"/>
  <c r="M160" i="1"/>
  <c r="O160" i="1" s="1"/>
  <c r="J161" i="1"/>
  <c r="M161" i="1"/>
  <c r="O161" i="1"/>
  <c r="J162" i="1"/>
  <c r="M162" i="1"/>
  <c r="O162" i="1" s="1"/>
  <c r="M163" i="1"/>
  <c r="O163" i="1"/>
  <c r="J164" i="1"/>
  <c r="M164" i="1"/>
  <c r="O164" i="1" s="1"/>
  <c r="M165" i="1"/>
  <c r="O165" i="1"/>
  <c r="J166" i="1"/>
  <c r="M166" i="1"/>
  <c r="O166" i="1" s="1"/>
  <c r="J167" i="1"/>
  <c r="M167" i="1"/>
  <c r="O167" i="1" s="1"/>
  <c r="M168" i="1"/>
  <c r="O168" i="1" s="1"/>
  <c r="J169" i="1"/>
  <c r="M169" i="1"/>
  <c r="O169" i="1"/>
  <c r="J170" i="1"/>
  <c r="M170" i="1"/>
  <c r="O170" i="1" s="1"/>
  <c r="M171" i="1"/>
  <c r="O171" i="1" s="1"/>
  <c r="M172" i="1"/>
  <c r="O172" i="1" s="1"/>
  <c r="M173" i="1"/>
  <c r="O173" i="1"/>
  <c r="J174" i="1"/>
  <c r="M174" i="1"/>
  <c r="O174" i="1" s="1"/>
  <c r="J175" i="1"/>
  <c r="M175" i="1"/>
  <c r="O175" i="1" s="1"/>
  <c r="J176" i="1"/>
  <c r="M176" i="1"/>
  <c r="O176" i="1" s="1"/>
  <c r="J177" i="1"/>
  <c r="M177" i="1"/>
  <c r="O177" i="1"/>
  <c r="J178" i="1"/>
  <c r="M178" i="1"/>
  <c r="O178" i="1" s="1"/>
  <c r="M179" i="1"/>
  <c r="O179" i="1" s="1"/>
  <c r="M180" i="1"/>
  <c r="O180" i="1" s="1"/>
  <c r="J181" i="1"/>
  <c r="M181" i="1"/>
  <c r="O181" i="1"/>
  <c r="M182" i="1"/>
  <c r="O182" i="1" s="1"/>
  <c r="J183" i="1"/>
  <c r="M183" i="1"/>
  <c r="O183" i="1" s="1"/>
  <c r="M184" i="1"/>
  <c r="O184" i="1" s="1"/>
  <c r="J185" i="1"/>
  <c r="M185" i="1"/>
  <c r="O185" i="1"/>
  <c r="J186" i="1"/>
  <c r="M186" i="1"/>
  <c r="O186" i="1" s="1"/>
  <c r="M187" i="1"/>
  <c r="O187" i="1" s="1"/>
  <c r="M188" i="1"/>
  <c r="O188" i="1" s="1"/>
  <c r="J189" i="1"/>
  <c r="M189" i="1"/>
  <c r="O189" i="1"/>
  <c r="J190" i="1"/>
  <c r="M190" i="1"/>
  <c r="O190" i="1" s="1"/>
  <c r="J191" i="1"/>
  <c r="M191" i="1"/>
  <c r="O191" i="1" s="1"/>
  <c r="J192" i="1"/>
  <c r="M192" i="1"/>
  <c r="O192" i="1" s="1"/>
  <c r="M193" i="1"/>
  <c r="O193" i="1"/>
  <c r="J194" i="1"/>
  <c r="M194" i="1"/>
  <c r="O194" i="1" s="1"/>
  <c r="M195" i="1"/>
  <c r="O195" i="1"/>
  <c r="M196" i="1"/>
  <c r="O196" i="1" s="1"/>
  <c r="M197" i="1"/>
  <c r="O197" i="1"/>
  <c r="J198" i="1"/>
  <c r="M198" i="1"/>
  <c r="O198" i="1" s="1"/>
  <c r="J199" i="1"/>
  <c r="M199" i="1"/>
  <c r="O199" i="1" s="1"/>
  <c r="M200" i="1"/>
  <c r="O200" i="1" s="1"/>
  <c r="M201" i="1"/>
  <c r="O201" i="1"/>
  <c r="J202" i="1"/>
  <c r="M202" i="1"/>
  <c r="O202" i="1" s="1"/>
  <c r="M203" i="1"/>
  <c r="O203" i="1"/>
  <c r="M204" i="1"/>
  <c r="O204" i="1" s="1"/>
  <c r="J205" i="1"/>
  <c r="M205" i="1"/>
  <c r="O205" i="1"/>
  <c r="M206" i="1"/>
  <c r="O206" i="1" s="1"/>
  <c r="J207" i="1"/>
  <c r="M207" i="1"/>
  <c r="O207" i="1" s="1"/>
  <c r="J208" i="1"/>
  <c r="M208" i="1"/>
  <c r="O208" i="1" s="1"/>
  <c r="J209" i="1"/>
  <c r="M209" i="1"/>
  <c r="O209" i="1"/>
  <c r="J210" i="1"/>
  <c r="M210" i="1"/>
  <c r="O210" i="1" s="1"/>
  <c r="J211" i="1"/>
  <c r="M211" i="1"/>
  <c r="O211" i="1" s="1"/>
  <c r="J212" i="1"/>
  <c r="M212" i="1"/>
  <c r="O212" i="1" s="1"/>
  <c r="M213" i="1"/>
  <c r="O213" i="1"/>
  <c r="M214" i="1"/>
  <c r="O214" i="1" s="1"/>
  <c r="M215" i="1"/>
  <c r="O215" i="1" s="1"/>
  <c r="J216" i="1"/>
  <c r="M216" i="1"/>
  <c r="O216" i="1" s="1"/>
  <c r="J217" i="1"/>
  <c r="M217" i="1"/>
  <c r="O217" i="1"/>
  <c r="J218" i="1"/>
  <c r="M218" i="1"/>
  <c r="O218" i="1" s="1"/>
  <c r="J219" i="1"/>
  <c r="M219" i="1"/>
  <c r="O219" i="1" s="1"/>
  <c r="J220" i="1"/>
  <c r="M220" i="1"/>
  <c r="O220" i="1" s="1"/>
  <c r="J221" i="1"/>
  <c r="M221" i="1"/>
  <c r="O221" i="1"/>
  <c r="M222" i="1"/>
  <c r="O222" i="1" s="1"/>
  <c r="J223" i="1"/>
  <c r="M223" i="1"/>
  <c r="O223" i="1" s="1"/>
  <c r="J224" i="1"/>
  <c r="M224" i="1"/>
  <c r="O224" i="1" s="1"/>
  <c r="M225" i="1"/>
  <c r="O225" i="1"/>
  <c r="J226" i="1"/>
  <c r="M226" i="1"/>
  <c r="O226" i="1" s="1"/>
  <c r="J227" i="1"/>
  <c r="M227" i="1"/>
  <c r="O227" i="1"/>
  <c r="J228" i="1"/>
  <c r="M228" i="1"/>
  <c r="J229" i="1"/>
  <c r="M229" i="1"/>
  <c r="O229" i="1"/>
  <c r="J230" i="1"/>
  <c r="M230" i="1"/>
  <c r="O230" i="1" s="1"/>
  <c r="J231" i="1"/>
  <c r="M231" i="1"/>
  <c r="O231" i="1" s="1"/>
  <c r="J232" i="1"/>
  <c r="M232" i="1"/>
  <c r="O232" i="1" s="1"/>
  <c r="M233" i="1"/>
  <c r="O233" i="1"/>
  <c r="J234" i="1"/>
  <c r="M234" i="1"/>
  <c r="O234" i="1" s="1"/>
  <c r="M235" i="1"/>
  <c r="O235" i="1"/>
  <c r="J236" i="1"/>
  <c r="M236" i="1"/>
  <c r="O236" i="1" s="1"/>
  <c r="J237" i="1"/>
  <c r="M237" i="1"/>
  <c r="O237" i="1" s="1"/>
  <c r="J238" i="1"/>
  <c r="M238" i="1"/>
  <c r="O238" i="1" s="1"/>
  <c r="J239" i="1"/>
  <c r="M239" i="1"/>
  <c r="O239" i="1" s="1"/>
  <c r="J240" i="1"/>
  <c r="M240" i="1"/>
  <c r="O240" i="1" s="1"/>
  <c r="J241" i="1"/>
  <c r="M241" i="1"/>
  <c r="O241" i="1"/>
  <c r="J242" i="1"/>
  <c r="M242" i="1"/>
  <c r="O242" i="1" s="1"/>
  <c r="J243" i="1"/>
  <c r="M243" i="1"/>
  <c r="O243" i="1" s="1"/>
  <c r="J244" i="1"/>
  <c r="M244" i="1"/>
  <c r="O244" i="1" s="1"/>
  <c r="M245" i="1"/>
  <c r="O245" i="1"/>
  <c r="M246" i="1"/>
  <c r="O246" i="1" s="1"/>
  <c r="J247" i="1"/>
  <c r="M247" i="1"/>
  <c r="O247" i="1" s="1"/>
  <c r="J248" i="1"/>
  <c r="M248" i="1"/>
  <c r="O248" i="1" s="1"/>
  <c r="J249" i="1"/>
  <c r="M249" i="1"/>
  <c r="O249" i="1"/>
  <c r="J250" i="1"/>
  <c r="M250" i="1"/>
  <c r="O250" i="1" s="1"/>
  <c r="M251" i="1"/>
  <c r="O251" i="1" s="1"/>
  <c r="J252" i="1"/>
  <c r="M252" i="1"/>
  <c r="O252" i="1" s="1"/>
  <c r="M253" i="1"/>
  <c r="O253" i="1"/>
  <c r="M254" i="1"/>
  <c r="O254" i="1" s="1"/>
  <c r="J255" i="1"/>
  <c r="M255" i="1"/>
  <c r="O255" i="1" s="1"/>
  <c r="J256" i="1"/>
  <c r="M256" i="1"/>
  <c r="O256" i="1" s="1"/>
  <c r="J257" i="1"/>
  <c r="M257" i="1"/>
  <c r="O257" i="1"/>
  <c r="J258" i="1"/>
  <c r="M258" i="1"/>
  <c r="O258" i="1" s="1"/>
  <c r="M259" i="1"/>
  <c r="O259" i="1" s="1"/>
  <c r="J260" i="1"/>
  <c r="M260" i="1"/>
  <c r="O260" i="1" s="1"/>
  <c r="J261" i="1"/>
  <c r="M261" i="1"/>
  <c r="O261" i="1"/>
  <c r="J262" i="1"/>
  <c r="M262" i="1"/>
  <c r="O262" i="1" s="1"/>
  <c r="J263" i="1"/>
  <c r="M263" i="1"/>
  <c r="O263" i="1" s="1"/>
  <c r="M264" i="1"/>
  <c r="O264" i="1" s="1"/>
  <c r="J265" i="1"/>
  <c r="M265" i="1"/>
  <c r="O265" i="1"/>
  <c r="J266" i="1"/>
  <c r="M266" i="1"/>
  <c r="O266" i="1" s="1"/>
  <c r="M267" i="1"/>
  <c r="O267" i="1" s="1"/>
  <c r="J268" i="1"/>
  <c r="M268" i="1"/>
  <c r="O268" i="1" s="1"/>
  <c r="M269" i="1"/>
  <c r="O269" i="1"/>
  <c r="J270" i="1"/>
  <c r="M270" i="1"/>
  <c r="O270" i="1" s="1"/>
  <c r="M271" i="1"/>
  <c r="O271" i="1" s="1"/>
  <c r="M272" i="1"/>
  <c r="O272" i="1" s="1"/>
  <c r="J273" i="1"/>
  <c r="M273" i="1"/>
  <c r="O273" i="1"/>
  <c r="J274" i="1"/>
  <c r="M274" i="1"/>
  <c r="O274" i="1" s="1"/>
  <c r="J275" i="1"/>
  <c r="M275" i="1"/>
  <c r="O275" i="1" s="1"/>
  <c r="J276" i="1"/>
  <c r="M276" i="1"/>
  <c r="O276" i="1" s="1"/>
  <c r="M277" i="1"/>
  <c r="O277" i="1"/>
  <c r="J278" i="1"/>
  <c r="M278" i="1"/>
  <c r="O278" i="1" s="1"/>
  <c r="J279" i="1"/>
  <c r="M279" i="1"/>
  <c r="O279" i="1" s="1"/>
  <c r="J280" i="1"/>
  <c r="M280" i="1"/>
  <c r="O280" i="1" s="1"/>
  <c r="J281" i="1"/>
  <c r="M281" i="1"/>
  <c r="O281" i="1"/>
  <c r="J282" i="1"/>
  <c r="M282" i="1"/>
  <c r="O282" i="1" s="1"/>
  <c r="M283" i="1"/>
  <c r="O283" i="1" s="1"/>
  <c r="J284" i="1"/>
  <c r="M284" i="1"/>
  <c r="O284" i="1" s="1"/>
  <c r="M285" i="1"/>
  <c r="O285" i="1"/>
  <c r="J286" i="1"/>
  <c r="M286" i="1"/>
  <c r="O286" i="1" s="1"/>
  <c r="J287" i="1"/>
  <c r="M287" i="1"/>
  <c r="O287" i="1" s="1"/>
  <c r="J288" i="1"/>
  <c r="M288" i="1"/>
  <c r="O288" i="1" s="1"/>
  <c r="J289" i="1"/>
  <c r="M289" i="1"/>
  <c r="O289" i="1"/>
  <c r="J290" i="1"/>
  <c r="M290" i="1"/>
  <c r="O290" i="1" s="1"/>
  <c r="M291" i="1"/>
  <c r="O291" i="1" s="1"/>
  <c r="J292" i="1"/>
  <c r="M292" i="1"/>
  <c r="O292" i="1" s="1"/>
  <c r="J293" i="1"/>
  <c r="M293" i="1"/>
  <c r="O293" i="1"/>
  <c r="J294" i="1"/>
  <c r="M294" i="1"/>
  <c r="O294" i="1" s="1"/>
  <c r="J295" i="1"/>
  <c r="M295" i="1"/>
  <c r="O295" i="1" s="1"/>
  <c r="M296" i="1"/>
  <c r="O296" i="1" s="1"/>
  <c r="M297" i="1"/>
  <c r="O297" i="1"/>
  <c r="J298" i="1"/>
  <c r="M298" i="1"/>
  <c r="O298" i="1" s="1"/>
  <c r="J299" i="1"/>
  <c r="M299" i="1"/>
  <c r="O299" i="1" s="1"/>
  <c r="J300" i="1"/>
  <c r="M300" i="1"/>
  <c r="O300" i="1" s="1"/>
  <c r="M301" i="1"/>
  <c r="O301" i="1"/>
  <c r="M302" i="1"/>
  <c r="O302" i="1" s="1"/>
  <c r="J303" i="1"/>
  <c r="M303" i="1"/>
  <c r="O303" i="1" s="1"/>
  <c r="M304" i="1"/>
  <c r="O304" i="1" s="1"/>
  <c r="J305" i="1"/>
  <c r="M305" i="1"/>
  <c r="O305" i="1"/>
  <c r="J306" i="1"/>
  <c r="M306" i="1"/>
  <c r="O306" i="1" s="1"/>
  <c r="J307" i="1"/>
  <c r="M307" i="1"/>
  <c r="O307" i="1" s="1"/>
  <c r="M308" i="1"/>
  <c r="O308" i="1" s="1"/>
  <c r="J309" i="1"/>
  <c r="M309" i="1"/>
  <c r="O309" i="1"/>
  <c r="J310" i="1"/>
  <c r="M310" i="1"/>
  <c r="O310" i="1" s="1"/>
  <c r="J311" i="1"/>
  <c r="M311" i="1"/>
  <c r="O311" i="1" s="1"/>
  <c r="M312" i="1"/>
  <c r="O312" i="1" s="1"/>
  <c r="M313" i="1"/>
  <c r="O313" i="1"/>
  <c r="J314" i="1"/>
  <c r="M314" i="1"/>
  <c r="O314" i="1" s="1"/>
  <c r="J315" i="1"/>
  <c r="M315" i="1"/>
  <c r="O315" i="1" s="1"/>
  <c r="M316" i="1"/>
  <c r="O316" i="1" s="1"/>
  <c r="M317" i="1"/>
  <c r="O317" i="1" s="1"/>
  <c r="J318" i="1"/>
  <c r="M318" i="1"/>
  <c r="O318" i="1" s="1"/>
  <c r="J144" i="1"/>
  <c r="M144" i="1"/>
  <c r="O144" i="1" s="1"/>
  <c r="J145" i="1"/>
  <c r="M145" i="1"/>
  <c r="O145" i="1"/>
  <c r="H4" i="1" l="1"/>
  <c r="L4" i="1" l="1"/>
  <c r="N10" i="1" s="1"/>
  <c r="O10" i="1" s="1"/>
  <c r="N319" i="1" l="1"/>
  <c r="N321" i="1"/>
  <c r="N323" i="1"/>
  <c r="N325" i="1"/>
  <c r="N327" i="1"/>
  <c r="N329" i="1"/>
  <c r="N331" i="1"/>
  <c r="N333" i="1"/>
  <c r="N335" i="1"/>
  <c r="N337" i="1"/>
  <c r="N339" i="1"/>
  <c r="N341" i="1"/>
  <c r="N343" i="1"/>
  <c r="N345" i="1"/>
  <c r="N347" i="1"/>
  <c r="N349" i="1"/>
  <c r="N351" i="1"/>
  <c r="N353" i="1"/>
  <c r="N355" i="1"/>
  <c r="N357" i="1"/>
  <c r="N359" i="1"/>
  <c r="N361" i="1"/>
  <c r="N363" i="1"/>
  <c r="N365" i="1"/>
  <c r="N367" i="1"/>
  <c r="N369" i="1"/>
  <c r="N320" i="1"/>
  <c r="N322" i="1"/>
  <c r="N324" i="1"/>
  <c r="N326" i="1"/>
  <c r="N328" i="1"/>
  <c r="N330" i="1"/>
  <c r="N332" i="1"/>
  <c r="N334" i="1"/>
  <c r="N336" i="1"/>
  <c r="N338" i="1"/>
  <c r="N340" i="1"/>
  <c r="N342" i="1"/>
  <c r="N344" i="1"/>
  <c r="N346" i="1"/>
  <c r="N348" i="1"/>
  <c r="N350" i="1"/>
  <c r="N352" i="1"/>
  <c r="N354" i="1"/>
  <c r="N356" i="1"/>
  <c r="N358" i="1"/>
  <c r="N360" i="1"/>
  <c r="N362" i="1"/>
  <c r="N364" i="1"/>
  <c r="N366" i="1"/>
  <c r="N368" i="1"/>
  <c r="N370" i="1"/>
  <c r="N146" i="1"/>
  <c r="N148" i="1"/>
  <c r="N150" i="1"/>
  <c r="N152" i="1"/>
  <c r="N154" i="1"/>
  <c r="N156" i="1"/>
  <c r="N158" i="1"/>
  <c r="N160" i="1"/>
  <c r="N162" i="1"/>
  <c r="N164" i="1"/>
  <c r="N166" i="1"/>
  <c r="N168" i="1"/>
  <c r="N170" i="1"/>
  <c r="N172" i="1"/>
  <c r="N174" i="1"/>
  <c r="N176" i="1"/>
  <c r="N178" i="1"/>
  <c r="N180" i="1"/>
  <c r="N182" i="1"/>
  <c r="N184" i="1"/>
  <c r="N186" i="1"/>
  <c r="N188" i="1"/>
  <c r="N190" i="1"/>
  <c r="N192" i="1"/>
  <c r="N194" i="1"/>
  <c r="N196" i="1"/>
  <c r="N198" i="1"/>
  <c r="N200" i="1"/>
  <c r="N202" i="1"/>
  <c r="N204" i="1"/>
  <c r="N206" i="1"/>
  <c r="N208" i="1"/>
  <c r="N210" i="1"/>
  <c r="N212" i="1"/>
  <c r="N214" i="1"/>
  <c r="N216" i="1"/>
  <c r="N218" i="1"/>
  <c r="N220" i="1"/>
  <c r="N222" i="1"/>
  <c r="N224" i="1"/>
  <c r="N226" i="1"/>
  <c r="N228" i="1"/>
  <c r="O228" i="1" s="1"/>
  <c r="N230" i="1"/>
  <c r="N232" i="1"/>
  <c r="N234" i="1"/>
  <c r="N236" i="1"/>
  <c r="N238" i="1"/>
  <c r="N240" i="1"/>
  <c r="N242" i="1"/>
  <c r="N244" i="1"/>
  <c r="N246" i="1"/>
  <c r="N248" i="1"/>
  <c r="N250" i="1"/>
  <c r="N252" i="1"/>
  <c r="N254" i="1"/>
  <c r="N256" i="1"/>
  <c r="N258" i="1"/>
  <c r="N260" i="1"/>
  <c r="N262" i="1"/>
  <c r="N264" i="1"/>
  <c r="N266" i="1"/>
  <c r="N268" i="1"/>
  <c r="N270" i="1"/>
  <c r="N272" i="1"/>
  <c r="N274" i="1"/>
  <c r="N276" i="1"/>
  <c r="N278" i="1"/>
  <c r="N280" i="1"/>
  <c r="N282" i="1"/>
  <c r="N284" i="1"/>
  <c r="N286" i="1"/>
  <c r="N288" i="1"/>
  <c r="N290" i="1"/>
  <c r="N292" i="1"/>
  <c r="N294" i="1"/>
  <c r="N296" i="1"/>
  <c r="N298" i="1"/>
  <c r="N300" i="1"/>
  <c r="N302" i="1"/>
  <c r="N304" i="1"/>
  <c r="N306" i="1"/>
  <c r="N308" i="1"/>
  <c r="N310" i="1"/>
  <c r="N312" i="1"/>
  <c r="N314" i="1"/>
  <c r="N151" i="1"/>
  <c r="N159" i="1"/>
  <c r="N167" i="1"/>
  <c r="N175" i="1"/>
  <c r="N183" i="1"/>
  <c r="N191" i="1"/>
  <c r="N199" i="1"/>
  <c r="N207" i="1"/>
  <c r="N215" i="1"/>
  <c r="N223" i="1"/>
  <c r="N231" i="1"/>
  <c r="N239" i="1"/>
  <c r="N247" i="1"/>
  <c r="N255" i="1"/>
  <c r="N263" i="1"/>
  <c r="N271" i="1"/>
  <c r="N279" i="1"/>
  <c r="N287" i="1"/>
  <c r="N295" i="1"/>
  <c r="N303" i="1"/>
  <c r="N311" i="1"/>
  <c r="N316" i="1"/>
  <c r="N318" i="1"/>
  <c r="N149" i="1"/>
  <c r="N157" i="1"/>
  <c r="N165" i="1"/>
  <c r="N173" i="1"/>
  <c r="N181" i="1"/>
  <c r="N189" i="1"/>
  <c r="N197" i="1"/>
  <c r="N205" i="1"/>
  <c r="N213" i="1"/>
  <c r="N221" i="1"/>
  <c r="N229" i="1"/>
  <c r="N237" i="1"/>
  <c r="N245" i="1"/>
  <c r="N253" i="1"/>
  <c r="N261" i="1"/>
  <c r="N269" i="1"/>
  <c r="N277" i="1"/>
  <c r="N285" i="1"/>
  <c r="N293" i="1"/>
  <c r="N301" i="1"/>
  <c r="N309" i="1"/>
  <c r="N147" i="1"/>
  <c r="N155" i="1"/>
  <c r="N163" i="1"/>
  <c r="N171" i="1"/>
  <c r="N179" i="1"/>
  <c r="N187" i="1"/>
  <c r="N195" i="1"/>
  <c r="N203" i="1"/>
  <c r="N211" i="1"/>
  <c r="N219" i="1"/>
  <c r="N227" i="1"/>
  <c r="N235" i="1"/>
  <c r="N243" i="1"/>
  <c r="N251" i="1"/>
  <c r="N259" i="1"/>
  <c r="N267" i="1"/>
  <c r="N275" i="1"/>
  <c r="N283" i="1"/>
  <c r="N291" i="1"/>
  <c r="N299" i="1"/>
  <c r="N307" i="1"/>
  <c r="N315" i="1"/>
  <c r="N317" i="1"/>
  <c r="N153" i="1"/>
  <c r="O153" i="1" s="1"/>
  <c r="N161" i="1"/>
  <c r="N169" i="1"/>
  <c r="N177" i="1"/>
  <c r="N185" i="1"/>
  <c r="N193" i="1"/>
  <c r="N201" i="1"/>
  <c r="N209" i="1"/>
  <c r="N217" i="1"/>
  <c r="N225" i="1"/>
  <c r="N233" i="1"/>
  <c r="N241" i="1"/>
  <c r="N249" i="1"/>
  <c r="N257" i="1"/>
  <c r="N265" i="1"/>
  <c r="N273" i="1"/>
  <c r="N281" i="1"/>
  <c r="N289" i="1"/>
  <c r="N297" i="1"/>
  <c r="N305" i="1"/>
  <c r="N313" i="1"/>
  <c r="N144" i="1"/>
  <c r="N145" i="1"/>
  <c r="J120" i="1"/>
  <c r="M8" i="1" l="1"/>
  <c r="M9" i="1"/>
  <c r="M11" i="1"/>
  <c r="M12" i="1"/>
  <c r="M13" i="1"/>
  <c r="M14" i="1"/>
  <c r="M15" i="1"/>
  <c r="M16" i="1"/>
  <c r="M17" i="1"/>
  <c r="M18" i="1"/>
  <c r="M19" i="1"/>
  <c r="O19" i="1" s="1"/>
  <c r="M20" i="1"/>
  <c r="M21" i="1"/>
  <c r="M22" i="1"/>
  <c r="O22" i="1" s="1"/>
  <c r="M23" i="1"/>
  <c r="M24" i="1"/>
  <c r="M25" i="1"/>
  <c r="M26" i="1"/>
  <c r="M27" i="1"/>
  <c r="M28" i="1"/>
  <c r="M29" i="1"/>
  <c r="M30" i="1"/>
  <c r="M31" i="1"/>
  <c r="M32" i="1"/>
  <c r="M33" i="1"/>
  <c r="M34" i="1"/>
  <c r="M35" i="1"/>
  <c r="O35" i="1" s="1"/>
  <c r="M36" i="1"/>
  <c r="O36" i="1" s="1"/>
  <c r="M37" i="1"/>
  <c r="M38" i="1"/>
  <c r="O38" i="1" s="1"/>
  <c r="M39" i="1"/>
  <c r="M40" i="1"/>
  <c r="O40" i="1" s="1"/>
  <c r="M41" i="1"/>
  <c r="M42" i="1"/>
  <c r="M43" i="1"/>
  <c r="M44" i="1"/>
  <c r="O44" i="1" s="1"/>
  <c r="M45" i="1"/>
  <c r="O45" i="1" s="1"/>
  <c r="M46" i="1"/>
  <c r="O46" i="1" s="1"/>
  <c r="M47" i="1"/>
  <c r="M48" i="1"/>
  <c r="O48" i="1" s="1"/>
  <c r="M49" i="1"/>
  <c r="O49" i="1" s="1"/>
  <c r="M50" i="1"/>
  <c r="O50" i="1" s="1"/>
  <c r="M51" i="1"/>
  <c r="O51" i="1" s="1"/>
  <c r="M52" i="1"/>
  <c r="O52" i="1" s="1"/>
  <c r="M53" i="1"/>
  <c r="M54" i="1"/>
  <c r="O54" i="1" s="1"/>
  <c r="M55" i="1"/>
  <c r="M56" i="1"/>
  <c r="O56" i="1" s="1"/>
  <c r="M57" i="1"/>
  <c r="O57" i="1" s="1"/>
  <c r="M58" i="1"/>
  <c r="O58" i="1" s="1"/>
  <c r="M59" i="1"/>
  <c r="O59" i="1" s="1"/>
  <c r="M60" i="1"/>
  <c r="O60" i="1" s="1"/>
  <c r="M61" i="1"/>
  <c r="O61" i="1" s="1"/>
  <c r="M62" i="1"/>
  <c r="O62" i="1" s="1"/>
  <c r="M63" i="1"/>
  <c r="M64" i="1"/>
  <c r="M65" i="1"/>
  <c r="M66" i="1"/>
  <c r="M67" i="1"/>
  <c r="M68" i="1"/>
  <c r="O68" i="1" s="1"/>
  <c r="M69" i="1"/>
  <c r="O69" i="1" s="1"/>
  <c r="M70" i="1"/>
  <c r="O70" i="1" s="1"/>
  <c r="M71" i="1"/>
  <c r="M72" i="1"/>
  <c r="O72" i="1" s="1"/>
  <c r="M73" i="1"/>
  <c r="O73" i="1" s="1"/>
  <c r="M74" i="1"/>
  <c r="O74" i="1" s="1"/>
  <c r="M75" i="1"/>
  <c r="O75" i="1" s="1"/>
  <c r="M76" i="1"/>
  <c r="O76" i="1" s="1"/>
  <c r="M77" i="1"/>
  <c r="O77" i="1" s="1"/>
  <c r="M78" i="1"/>
  <c r="M79" i="1"/>
  <c r="M80" i="1"/>
  <c r="M81" i="1"/>
  <c r="M82" i="1"/>
  <c r="O82" i="1" s="1"/>
  <c r="M83" i="1"/>
  <c r="O83" i="1" s="1"/>
  <c r="M84" i="1"/>
  <c r="O84" i="1" s="1"/>
  <c r="M85" i="1"/>
  <c r="M86" i="1"/>
  <c r="O86" i="1" s="1"/>
  <c r="M87" i="1"/>
  <c r="M88" i="1"/>
  <c r="O88" i="1" s="1"/>
  <c r="M89" i="1"/>
  <c r="O89" i="1" s="1"/>
  <c r="M90" i="1"/>
  <c r="O90" i="1" s="1"/>
  <c r="M91" i="1"/>
  <c r="O91" i="1" s="1"/>
  <c r="M92" i="1"/>
  <c r="O92" i="1" s="1"/>
  <c r="M93" i="1"/>
  <c r="O93" i="1" s="1"/>
  <c r="M94" i="1"/>
  <c r="O94" i="1" s="1"/>
  <c r="M95" i="1"/>
  <c r="M96" i="1"/>
  <c r="M97" i="1"/>
  <c r="M98" i="1"/>
  <c r="M99" i="1"/>
  <c r="M100" i="1"/>
  <c r="O100" i="1" s="1"/>
  <c r="M101" i="1"/>
  <c r="O101" i="1" s="1"/>
  <c r="M102" i="1"/>
  <c r="O102" i="1" s="1"/>
  <c r="M103" i="1"/>
  <c r="M104" i="1"/>
  <c r="O104" i="1" s="1"/>
  <c r="M105" i="1"/>
  <c r="O105" i="1" s="1"/>
  <c r="M106" i="1"/>
  <c r="M107" i="1"/>
  <c r="M108" i="1"/>
  <c r="O108" i="1" s="1"/>
  <c r="M109" i="1"/>
  <c r="O109" i="1" s="1"/>
  <c r="M110" i="1"/>
  <c r="O110" i="1" s="1"/>
  <c r="M111" i="1"/>
  <c r="M112" i="1"/>
  <c r="O112" i="1" s="1"/>
  <c r="M113" i="1"/>
  <c r="M114" i="1"/>
  <c r="M115" i="1"/>
  <c r="M116" i="1"/>
  <c r="M117" i="1"/>
  <c r="M118" i="1"/>
  <c r="O118" i="1" s="1"/>
  <c r="M119" i="1"/>
  <c r="M120" i="1"/>
  <c r="O120" i="1" s="1"/>
  <c r="M121" i="1"/>
  <c r="O121" i="1" s="1"/>
  <c r="M122" i="1"/>
  <c r="O122" i="1" s="1"/>
  <c r="M123" i="1"/>
  <c r="O123" i="1" s="1"/>
  <c r="M124" i="1"/>
  <c r="O124" i="1" s="1"/>
  <c r="M125" i="1"/>
  <c r="O125" i="1" s="1"/>
  <c r="M126" i="1"/>
  <c r="O126" i="1" s="1"/>
  <c r="M127" i="1"/>
  <c r="O127" i="1" s="1"/>
  <c r="M128" i="1"/>
  <c r="O128" i="1" s="1"/>
  <c r="M129" i="1"/>
  <c r="O129" i="1" s="1"/>
  <c r="M130" i="1"/>
  <c r="O130" i="1" s="1"/>
  <c r="M131" i="1"/>
  <c r="M132" i="1"/>
  <c r="M133" i="1"/>
  <c r="M134" i="1"/>
  <c r="M135" i="1"/>
  <c r="M136" i="1"/>
  <c r="M137" i="1"/>
  <c r="M138" i="1"/>
  <c r="O138" i="1" s="1"/>
  <c r="M139" i="1"/>
  <c r="M140" i="1"/>
  <c r="O140" i="1" s="1"/>
  <c r="M141" i="1"/>
  <c r="O141" i="1" s="1"/>
  <c r="M142" i="1"/>
  <c r="M143" i="1"/>
  <c r="O143" i="1" s="1"/>
  <c r="O41" i="1"/>
  <c r="O42" i="1"/>
  <c r="O43" i="1"/>
  <c r="O64" i="1"/>
  <c r="O65" i="1"/>
  <c r="O66" i="1"/>
  <c r="O67" i="1"/>
  <c r="O78" i="1"/>
  <c r="O80" i="1"/>
  <c r="O81" i="1"/>
  <c r="O96" i="1"/>
  <c r="O97" i="1"/>
  <c r="O98" i="1"/>
  <c r="O99" i="1"/>
  <c r="O106" i="1"/>
  <c r="O107" i="1"/>
  <c r="O113" i="1"/>
  <c r="O114" i="1"/>
  <c r="O115" i="1"/>
  <c r="O116" i="1"/>
  <c r="O132" i="1"/>
  <c r="O133" i="1"/>
  <c r="O134" i="1"/>
  <c r="O135" i="1"/>
  <c r="O136" i="1"/>
  <c r="O142" i="1"/>
  <c r="M7" i="1"/>
  <c r="I4" i="1"/>
  <c r="I3"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1" i="1"/>
  <c r="J126" i="1"/>
  <c r="J127" i="1"/>
  <c r="J128" i="1"/>
  <c r="J129" i="1"/>
  <c r="J130" i="1"/>
  <c r="J131" i="1"/>
  <c r="J132" i="1"/>
  <c r="J133" i="1"/>
  <c r="J134" i="1"/>
  <c r="J135" i="1"/>
  <c r="J136" i="1"/>
  <c r="J137" i="1"/>
  <c r="J138" i="1"/>
  <c r="J139" i="1"/>
  <c r="J140" i="1"/>
  <c r="J141" i="1"/>
  <c r="J142" i="1"/>
  <c r="J143" i="1"/>
  <c r="J125" i="1"/>
  <c r="N8" i="1" l="1"/>
  <c r="O8" i="1" s="1"/>
  <c r="N4" i="1"/>
  <c r="B3" i="1" s="1"/>
  <c r="N143" i="1"/>
  <c r="N129" i="1"/>
  <c r="N68" i="1"/>
  <c r="N139" i="1"/>
  <c r="N99" i="1"/>
  <c r="N51" i="1"/>
  <c r="N20" i="1"/>
  <c r="O20" i="1" s="1"/>
  <c r="N138" i="1"/>
  <c r="N124" i="1"/>
  <c r="N95" i="1"/>
  <c r="N47" i="1"/>
  <c r="N27" i="1"/>
  <c r="O27" i="1" s="1"/>
  <c r="N137" i="1"/>
  <c r="N123" i="1"/>
  <c r="N110" i="1"/>
  <c r="N94" i="1"/>
  <c r="N78" i="1"/>
  <c r="N62" i="1"/>
  <c r="N46" i="1"/>
  <c r="N14" i="1"/>
  <c r="O14" i="1" s="1"/>
  <c r="N52" i="1"/>
  <c r="N128" i="1"/>
  <c r="N115" i="1"/>
  <c r="N67" i="1"/>
  <c r="N36" i="1"/>
  <c r="N12" i="1"/>
  <c r="O12" i="1" s="1"/>
  <c r="N127" i="1"/>
  <c r="N111" i="1"/>
  <c r="N63" i="1"/>
  <c r="N136" i="1"/>
  <c r="N108" i="1"/>
  <c r="N92" i="1"/>
  <c r="N76" i="1"/>
  <c r="N60" i="1"/>
  <c r="N44" i="1"/>
  <c r="N22" i="1"/>
  <c r="N100" i="1"/>
  <c r="N83" i="1"/>
  <c r="N28" i="1"/>
  <c r="O28" i="1" s="1"/>
  <c r="N79" i="1"/>
  <c r="N135" i="1"/>
  <c r="N119" i="1"/>
  <c r="N107" i="1"/>
  <c r="N91" i="1"/>
  <c r="N75" i="1"/>
  <c r="N59" i="1"/>
  <c r="N43" i="1"/>
  <c r="N116" i="1"/>
  <c r="N55" i="1"/>
  <c r="N38" i="1"/>
  <c r="N84" i="1"/>
  <c r="N131" i="1"/>
  <c r="N118" i="1"/>
  <c r="N103" i="1"/>
  <c r="N87" i="1"/>
  <c r="N71" i="1"/>
  <c r="N30" i="1"/>
  <c r="O30" i="1" s="1"/>
  <c r="N39" i="1"/>
  <c r="N31" i="1"/>
  <c r="N23" i="1"/>
  <c r="N15" i="1"/>
  <c r="N7" i="1"/>
  <c r="N130" i="1"/>
  <c r="N117" i="1"/>
  <c r="N102" i="1"/>
  <c r="N86" i="1"/>
  <c r="N70" i="1"/>
  <c r="N54" i="1"/>
  <c r="N35" i="1"/>
  <c r="N19" i="1"/>
  <c r="N109" i="1"/>
  <c r="N101" i="1"/>
  <c r="N93" i="1"/>
  <c r="N85" i="1"/>
  <c r="N77" i="1"/>
  <c r="N69" i="1"/>
  <c r="N61" i="1"/>
  <c r="N53" i="1"/>
  <c r="N45" i="1"/>
  <c r="N37" i="1"/>
  <c r="O37" i="1" s="1"/>
  <c r="N29" i="1"/>
  <c r="O29" i="1" s="1"/>
  <c r="N21" i="1"/>
  <c r="O21" i="1" s="1"/>
  <c r="N13" i="1"/>
  <c r="N11" i="1"/>
  <c r="O11" i="1" s="1"/>
  <c r="N142" i="1"/>
  <c r="N134" i="1"/>
  <c r="N126" i="1"/>
  <c r="N122" i="1"/>
  <c r="N114" i="1"/>
  <c r="N106" i="1"/>
  <c r="N98" i="1"/>
  <c r="N90" i="1"/>
  <c r="N82" i="1"/>
  <c r="N74" i="1"/>
  <c r="N66" i="1"/>
  <c r="N58" i="1"/>
  <c r="N50" i="1"/>
  <c r="N42" i="1"/>
  <c r="N34" i="1"/>
  <c r="O34" i="1" s="1"/>
  <c r="N26" i="1"/>
  <c r="O26" i="1" s="1"/>
  <c r="N18" i="1"/>
  <c r="O18" i="1" s="1"/>
  <c r="N141" i="1"/>
  <c r="N133" i="1"/>
  <c r="N125" i="1"/>
  <c r="N121" i="1"/>
  <c r="N113" i="1"/>
  <c r="N105" i="1"/>
  <c r="N97" i="1"/>
  <c r="N89" i="1"/>
  <c r="N81" i="1"/>
  <c r="N73" i="1"/>
  <c r="N65" i="1"/>
  <c r="N57" i="1"/>
  <c r="N49" i="1"/>
  <c r="N41" i="1"/>
  <c r="N33" i="1"/>
  <c r="O33" i="1" s="1"/>
  <c r="N25" i="1"/>
  <c r="O25" i="1" s="1"/>
  <c r="N17" i="1"/>
  <c r="O17" i="1" s="1"/>
  <c r="N9" i="1"/>
  <c r="O9" i="1" s="1"/>
  <c r="N140" i="1"/>
  <c r="N132" i="1"/>
  <c r="N120" i="1"/>
  <c r="N112" i="1"/>
  <c r="N104" i="1"/>
  <c r="N96" i="1"/>
  <c r="N88" i="1"/>
  <c r="N80" i="1"/>
  <c r="N72" i="1"/>
  <c r="N64" i="1"/>
  <c r="N56" i="1"/>
  <c r="N48" i="1"/>
  <c r="N40" i="1"/>
  <c r="N32" i="1"/>
  <c r="O32" i="1" s="1"/>
  <c r="N24" i="1"/>
  <c r="O24" i="1" s="1"/>
  <c r="N16" i="1"/>
  <c r="O16" i="1" s="1"/>
  <c r="O137" i="1"/>
  <c r="O85" i="1"/>
  <c r="O117" i="1"/>
  <c r="O53" i="1"/>
  <c r="O13" i="1"/>
  <c r="O139" i="1"/>
  <c r="O131" i="1"/>
  <c r="O119" i="1"/>
  <c r="O111" i="1"/>
  <c r="O103" i="1"/>
  <c r="O95" i="1"/>
  <c r="O87" i="1"/>
  <c r="O79" i="1"/>
  <c r="O71" i="1"/>
  <c r="O63" i="1"/>
  <c r="O55" i="1"/>
  <c r="O47" i="1"/>
  <c r="O39" i="1"/>
  <c r="O31" i="1"/>
  <c r="O23" i="1"/>
  <c r="O15" i="1"/>
  <c r="O7" i="1"/>
  <c r="J3" i="1"/>
  <c r="J4" i="1" l="1"/>
  <c r="J122" i="1" l="1"/>
  <c r="J123" i="1"/>
  <c r="J124" i="1"/>
</calcChain>
</file>

<file path=xl/sharedStrings.xml><?xml version="1.0" encoding="utf-8"?>
<sst xmlns="http://schemas.openxmlformats.org/spreadsheetml/2006/main" count="950" uniqueCount="540">
  <si>
    <t>Job number</t>
    <phoneticPr fontId="5" type="noConversion"/>
  </si>
  <si>
    <t>Job Description</t>
    <phoneticPr fontId="5" type="noConversion"/>
  </si>
  <si>
    <t>Vendor</t>
    <phoneticPr fontId="5" type="noConversion"/>
  </si>
  <si>
    <t>completion (%)</t>
    <phoneticPr fontId="5" type="noConversion"/>
  </si>
  <si>
    <t>Class remark</t>
    <phoneticPr fontId="5" type="noConversion"/>
  </si>
  <si>
    <t>Difference
(A-B)</t>
    <phoneticPr fontId="5" type="noConversion"/>
  </si>
  <si>
    <t>Job commence</t>
    <phoneticPr fontId="5" type="noConversion"/>
  </si>
  <si>
    <t>Job progress</t>
    <phoneticPr fontId="5" type="noConversion"/>
  </si>
  <si>
    <t>Category</t>
  </si>
  <si>
    <t>Shipyard</t>
  </si>
  <si>
    <t>CONSUMPTION</t>
  </si>
  <si>
    <t>TOTAL BUDGET
(INITIAL)</t>
  </si>
  <si>
    <t>TOTAL DIFF.</t>
  </si>
  <si>
    <t>Today</t>
    <phoneticPr fontId="5" type="noConversion"/>
  </si>
  <si>
    <t>Start date</t>
    <phoneticPr fontId="5" type="noConversion"/>
  </si>
  <si>
    <t>End Date</t>
    <phoneticPr fontId="5" type="noConversion"/>
  </si>
  <si>
    <t>Shipyard</t>
    <phoneticPr fontId="5" type="noConversion"/>
  </si>
  <si>
    <t>Shore Repair</t>
    <phoneticPr fontId="5" type="noConversion"/>
  </si>
  <si>
    <t>Consumption
(B)</t>
    <phoneticPr fontId="5" type="noConversion"/>
  </si>
  <si>
    <t>Initial budget
(A)</t>
    <phoneticPr fontId="5" type="noConversion"/>
  </si>
  <si>
    <t>Remark / Job progress (Daily update)</t>
    <phoneticPr fontId="5" type="noConversion"/>
  </si>
  <si>
    <t>Total duration</t>
    <phoneticPr fontId="5" type="noConversion"/>
  </si>
  <si>
    <t>Progress days</t>
    <phoneticPr fontId="5" type="noConversion"/>
  </si>
  <si>
    <t>Job Completion</t>
    <phoneticPr fontId="5" type="noConversion"/>
  </si>
  <si>
    <t>Duration</t>
    <phoneticPr fontId="5" type="noConversion"/>
  </si>
  <si>
    <t>Commence</t>
    <phoneticPr fontId="5" type="noConversion"/>
  </si>
  <si>
    <t>No.</t>
    <phoneticPr fontId="5" type="noConversion"/>
  </si>
  <si>
    <t>Description</t>
    <phoneticPr fontId="5" type="noConversion"/>
  </si>
  <si>
    <t>Completion</t>
    <phoneticPr fontId="5" type="noConversion"/>
  </si>
  <si>
    <t>Class item</t>
    <phoneticPr fontId="5" type="noConversion"/>
  </si>
  <si>
    <t>Month</t>
    <phoneticPr fontId="5" type="noConversion"/>
  </si>
  <si>
    <t>To be utilized for Staging budget</t>
    <phoneticPr fontId="5" type="noConversion"/>
  </si>
  <si>
    <t>Cancel</t>
    <phoneticPr fontId="5" type="noConversion"/>
  </si>
  <si>
    <t>Carell</t>
    <phoneticPr fontId="5" type="noConversion"/>
  </si>
  <si>
    <t>TBA</t>
    <phoneticPr fontId="5" type="noConversion"/>
  </si>
  <si>
    <t>Aug</t>
    <phoneticPr fontId="5" type="noConversion"/>
  </si>
  <si>
    <t>Sep</t>
    <phoneticPr fontId="5" type="noConversion"/>
  </si>
  <si>
    <t>Finding list</t>
    <phoneticPr fontId="5" type="noConversion"/>
  </si>
  <si>
    <t>Action plan / Result</t>
    <phoneticPr fontId="5" type="noConversion"/>
  </si>
  <si>
    <t>Rectification by</t>
    <phoneticPr fontId="5" type="noConversion"/>
  </si>
  <si>
    <t>Open date</t>
    <phoneticPr fontId="5" type="noConversion"/>
  </si>
  <si>
    <t>Sounding Pipe Vent Cock Stuck</t>
    <phoneticPr fontId="5" type="noConversion"/>
  </si>
  <si>
    <t>Stuck vent cocks on self-closing sounding pipes with air vents were identified</t>
    <phoneticPr fontId="5" type="noConversion"/>
  </si>
  <si>
    <t>Replacement is planned after material supply.</t>
    <phoneticPr fontId="5" type="noConversion"/>
  </si>
  <si>
    <t>Crew</t>
    <phoneticPr fontId="5" type="noConversion"/>
  </si>
  <si>
    <t>30th April</t>
    <phoneticPr fontId="5" type="noConversion"/>
  </si>
  <si>
    <t>STP Manhole Cover Bolt Damage</t>
    <phoneticPr fontId="5" type="noConversion"/>
  </si>
  <si>
    <t xml:space="preserve"> Repair has been scheduled following your finding</t>
    <phoneticPr fontId="5" type="noConversion"/>
  </si>
  <si>
    <t>Cleaning of the STP and bolt replacement are planned for 3 May.</t>
    <phoneticPr fontId="5" type="noConversion"/>
  </si>
  <si>
    <t>Hot Water Boiler Safety Valve Hose</t>
    <phoneticPr fontId="5" type="noConversion"/>
  </si>
  <si>
    <t>Found Temporary Hose</t>
    <phoneticPr fontId="5" type="noConversion"/>
  </si>
  <si>
    <t>The temporary hose has been removed and will be replaced with a permanent (fixed) pipe</t>
    <phoneticPr fontId="5" type="noConversion"/>
  </si>
  <si>
    <t>Leak Traces on STP Top ER Pipe</t>
    <phoneticPr fontId="5" type="noConversion"/>
  </si>
  <si>
    <t>Leakage sign has been found</t>
    <phoneticPr fontId="5" type="noConversion"/>
  </si>
  <si>
    <t>Painting pipe is necesasry</t>
    <phoneticPr fontId="5" type="noConversion"/>
  </si>
  <si>
    <t>Improper Paint Storage in E/R</t>
    <phoneticPr fontId="5" type="noConversion"/>
  </si>
  <si>
    <t>All paints moved to be stored in the designated paint store.</t>
    <phoneticPr fontId="5" type="noConversion"/>
  </si>
  <si>
    <t>The temporary wooden paint storage space will be dismantled on 3 May, considering hot work restrictions due to open E/R oil tanks.</t>
    <phoneticPr fontId="5" type="noConversion"/>
  </si>
  <si>
    <t>Improper MGO Tank Drain Valve</t>
    <phoneticPr fontId="5" type="noConversion"/>
  </si>
  <si>
    <t>A ball valve was found instead of a self-closing valve</t>
    <phoneticPr fontId="5" type="noConversion"/>
  </si>
  <si>
    <t>This is assumed to be an unauthorized modification. Replacement is planned after self-closing valve supply.</t>
    <phoneticPr fontId="5" type="noConversion"/>
  </si>
  <si>
    <t>Improper Securing of Heavy Items</t>
    <phoneticPr fontId="5" type="noConversion"/>
  </si>
  <si>
    <t>Heavy equipment such as refrigerant cylinders, pipes, large valves, and M/E spares were found unsecured</t>
    <phoneticPr fontId="5" type="noConversion"/>
  </si>
  <si>
    <t>These items have been relocated to a secured storage area in the spare room.</t>
    <phoneticPr fontId="5" type="noConversion"/>
  </si>
  <si>
    <t>Unapproved Receptacle Installation</t>
    <phoneticPr fontId="5" type="noConversion"/>
  </si>
  <si>
    <t>The unauthorized receptacle, likely related to a dosing unit no longer in use, has been removed along with the dosing unit</t>
    <phoneticPr fontId="5" type="noConversion"/>
  </si>
  <si>
    <t>Removed</t>
    <phoneticPr fontId="5" type="noConversion"/>
  </si>
  <si>
    <t>Unknown Battery in E/R</t>
    <phoneticPr fontId="5" type="noConversion"/>
  </si>
  <si>
    <t>Confirmed to be A/E and Emergency G/E starting batteries.</t>
    <phoneticPr fontId="5" type="noConversion"/>
  </si>
  <si>
    <t>Purifier Room Flame Detector Foundation</t>
    <phoneticPr fontId="5" type="noConversion"/>
  </si>
  <si>
    <t>Foundation has been damaged.</t>
    <phoneticPr fontId="5" type="noConversion"/>
  </si>
  <si>
    <t>The damaged foundation has been repaired.</t>
    <phoneticPr fontId="5" type="noConversion"/>
  </si>
  <si>
    <t>A/E F.O. Inlet Line Isolation Valve Issue (Non-compliance with SOLAS Regulation)</t>
    <phoneticPr fontId="5" type="noConversion"/>
  </si>
  <si>
    <t>Please refer to the requirements of SOLAS. CH.II-2,Reg.4 section 2.2.5.5 which was attached, to confirm the arrangement of Fuel Isolating valve of Generator engine No.1 and No.2</t>
    <phoneticPr fontId="5" type="noConversion"/>
  </si>
  <si>
    <r>
      <t xml:space="preserve">a. Firstly, we are currently confirming with the engine maker whether FOV33 (solenoid valve) is capable of being closed via a remote activation system (e.g., remote push-button). : </t>
    </r>
    <r>
      <rPr>
        <b/>
        <u/>
        <sz val="11"/>
        <color rgb="FFFF0000"/>
        <rFont val="Calibri"/>
        <family val="3"/>
        <charset val="129"/>
        <scheme val="minor"/>
      </rPr>
      <t>Awaiting for Maker's response. (1st May)</t>
    </r>
    <r>
      <rPr>
        <sz val="11"/>
        <color theme="1"/>
        <rFont val="Calibri"/>
        <family val="2"/>
        <charset val="129"/>
        <scheme val="minor"/>
      </rPr>
      <t xml:space="preserve">
b. If the valve does not operate remote button, we plan to discuss the required line modification with BV Korea, obtain drawing approval, and proceed with modification in accordance with SOLAS Chapter II-2, Regulation 4, Section 2.2.5.5.</t>
    </r>
    <phoneticPr fontId="5" type="noConversion"/>
  </si>
  <si>
    <t>Cargo hold Ventilation Mesh Cover #3 C/H AFT</t>
    <phoneticPr fontId="5" type="noConversion"/>
  </si>
  <si>
    <t>Mesh cover has been broken</t>
    <phoneticPr fontId="5" type="noConversion"/>
  </si>
  <si>
    <t>Will discuss repair plan with shipyard.</t>
    <phoneticPr fontId="5" type="noConversion"/>
  </si>
  <si>
    <t>1st May</t>
    <phoneticPr fontId="5" type="noConversion"/>
  </si>
  <si>
    <t>#3 FWD C/H Explosion-proof light</t>
    <phoneticPr fontId="5" type="noConversion"/>
  </si>
  <si>
    <t>#3 FWD C/H Explosion-proof light is missing</t>
    <phoneticPr fontId="5" type="noConversion"/>
  </si>
  <si>
    <t>Spare to be supplied and replaced.</t>
    <phoneticPr fontId="5" type="noConversion"/>
  </si>
  <si>
    <t>#2 C/H Ventilation Mesh Cover</t>
    <phoneticPr fontId="5" type="noConversion"/>
  </si>
  <si>
    <t>Foremast Light fixture</t>
    <phoneticPr fontId="5" type="noConversion"/>
  </si>
  <si>
    <t>The support for the foremast light is missing, and associated cable arrangement is improperly installed.</t>
    <phoneticPr fontId="5" type="noConversion"/>
  </si>
  <si>
    <t>Provision store ventilation cover</t>
    <phoneticPr fontId="5" type="noConversion"/>
  </si>
  <si>
    <t>Cover has been broken.</t>
    <phoneticPr fontId="5" type="noConversion"/>
  </si>
  <si>
    <t>Duct Fire damper (Bridge)</t>
    <phoneticPr fontId="5" type="noConversion"/>
  </si>
  <si>
    <t>As the damper is installed at a high position, it is difficult to operate manually. Please install a wire mechanism to allow remote opening and closing.</t>
    <phoneticPr fontId="5" type="noConversion"/>
  </si>
  <si>
    <t>Wire to be installed with handle for each fire damper</t>
    <phoneticPr fontId="5" type="noConversion"/>
  </si>
  <si>
    <t>Air horn foundation (Monkey island)</t>
    <phoneticPr fontId="5" type="noConversion"/>
  </si>
  <si>
    <t>Air horn foundation is in rusty condition</t>
    <phoneticPr fontId="5" type="noConversion"/>
  </si>
  <si>
    <t>De-rusted &amp; Painted</t>
    <phoneticPr fontId="5" type="noConversion"/>
  </si>
  <si>
    <t>Bridge Wooden Structures</t>
    <phoneticPr fontId="5" type="noConversion"/>
  </si>
  <si>
    <t>The sheet covering on the wooden structure in the bridge has peeled off.</t>
    <phoneticPr fontId="5" type="noConversion"/>
  </si>
  <si>
    <t>Lashing Bridge (#3 C/H AFT) Light Fixture</t>
    <phoneticPr fontId="5" type="noConversion"/>
  </si>
  <si>
    <t>1 Set of Light fixture is missing.</t>
    <phoneticPr fontId="5" type="noConversion"/>
  </si>
  <si>
    <t>Reefer Socket Box</t>
    <phoneticPr fontId="5" type="noConversion"/>
  </si>
  <si>
    <t>Several reefer socket caps have been found missing, and the existing ones are not closing securely.</t>
    <phoneticPr fontId="5" type="noConversion"/>
  </si>
  <si>
    <t>#3 Cargo hold Fan</t>
    <phoneticPr fontId="5" type="noConversion"/>
  </si>
  <si>
    <t>Foundation is in rusty condition</t>
    <phoneticPr fontId="5" type="noConversion"/>
  </si>
  <si>
    <t>Cable Penetration</t>
    <phoneticPr fontId="5" type="noConversion"/>
  </si>
  <si>
    <t>Some deck cable penetrations were found not to be properly sealed.</t>
    <phoneticPr fontId="5" type="noConversion"/>
  </si>
  <si>
    <t>Proper sealing compound to be applied.</t>
    <phoneticPr fontId="5" type="noConversion"/>
  </si>
  <si>
    <t>HFO storage tank (P) Manhole cover</t>
    <phoneticPr fontId="5" type="noConversion"/>
  </si>
  <si>
    <t>Found leakage trace.</t>
    <phoneticPr fontId="5" type="noConversion"/>
  </si>
  <si>
    <t>Re-tighted manhole and Removed oil tracing. Re-painted</t>
    <phoneticPr fontId="5" type="noConversion"/>
  </si>
  <si>
    <t>Railing Door of life raft (Stbd)</t>
    <phoneticPr fontId="5" type="noConversion"/>
  </si>
  <si>
    <t>Need to Free-up, de-rust, and paint</t>
    <phoneticPr fontId="5" type="noConversion"/>
  </si>
  <si>
    <t>Job to be planned</t>
    <phoneticPr fontId="5" type="noConversion"/>
  </si>
  <si>
    <t>Em'cy lights of Accommodation</t>
    <phoneticPr fontId="5" type="noConversion"/>
  </si>
  <si>
    <t>Defects were identified in six emergency lights located around the accommodation area, including issues with their supporting structures.</t>
    <phoneticPr fontId="5" type="noConversion"/>
  </si>
  <si>
    <t>Em'cy light spare to be supplied and replaced, while the replacement of the supports to be discussed with the shipyard.</t>
    <phoneticPr fontId="5" type="noConversion"/>
  </si>
  <si>
    <t>Crew / Shipyard</t>
    <phoneticPr fontId="5" type="noConversion"/>
  </si>
  <si>
    <t>Fire hose box (Deck B)</t>
    <phoneticPr fontId="5" type="noConversion"/>
  </si>
  <si>
    <t>Box door has been broken.</t>
    <phoneticPr fontId="5" type="noConversion"/>
  </si>
  <si>
    <t>Replaced by new box</t>
    <phoneticPr fontId="5" type="noConversion"/>
  </si>
  <si>
    <t>Soud Pipe (Monkey Island)</t>
    <phoneticPr fontId="5" type="noConversion"/>
  </si>
  <si>
    <t>Rusty condition</t>
    <phoneticPr fontId="5" type="noConversion"/>
  </si>
  <si>
    <t>Pipe to be replaced</t>
    <phoneticPr fontId="5" type="noConversion"/>
  </si>
  <si>
    <t>Loading computer program certificate</t>
    <phoneticPr fontId="5" type="noConversion"/>
  </si>
  <si>
    <t>Cert is missing</t>
    <phoneticPr fontId="5" type="noConversion"/>
  </si>
  <si>
    <t>Found and provided to Class Surveyor. (Maker contact)</t>
    <phoneticPr fontId="5" type="noConversion"/>
  </si>
  <si>
    <t>2nd May</t>
    <phoneticPr fontId="5" type="noConversion"/>
  </si>
  <si>
    <t>BWTS calibration period to be clarifed</t>
    <phoneticPr fontId="5" type="noConversion"/>
  </si>
  <si>
    <t>With Panasia</t>
    <phoneticPr fontId="5" type="noConversion"/>
  </si>
  <si>
    <t>SE</t>
    <phoneticPr fontId="5" type="noConversion"/>
  </si>
  <si>
    <t>VDR만 남음</t>
    <phoneticPr fontId="5" type="noConversion"/>
  </si>
  <si>
    <t xml:space="preserve">5/13 VDR retrofitting 후 </t>
    <phoneticPr fontId="5" type="noConversion"/>
  </si>
  <si>
    <t>MAK engine 관련 Technical circular</t>
    <phoneticPr fontId="5" type="noConversion"/>
  </si>
  <si>
    <t>받음</t>
    <phoneticPr fontId="5" type="noConversion"/>
  </si>
  <si>
    <t>이전 UWI report</t>
    <phoneticPr fontId="5" type="noConversion"/>
  </si>
  <si>
    <t>Atlantic Green DD JOB PROGRESS</t>
  </si>
  <si>
    <t>Fixed fire fighting system isolation - to be done by vessel crew</t>
  </si>
  <si>
    <t>Ventilation fan rental fee</t>
  </si>
  <si>
    <t>Initial gas free measurement &amp; certification (on Owner account)</t>
  </si>
  <si>
    <t>Inspection &amp; certification of tank cleaning &amp; gas free conditions</t>
  </si>
  <si>
    <t>Daily gas free inspection by Yard's Safety Officers (Compulsory)</t>
  </si>
  <si>
    <t>Erection and removal of gangway for whole repair period</t>
  </si>
  <si>
    <t>Pilotage - arranged by Owner's agency on Owner account</t>
  </si>
  <si>
    <t>Docking / undocking of the vessel (For each operation)</t>
  </si>
  <si>
    <t>Shifting to repair berth / outside on departure (For each operation)</t>
  </si>
  <si>
    <t>Tug service - arranged by Owner's agency on Owner account</t>
  </si>
  <si>
    <t>Connection &amp; disconnection of the fire line</t>
  </si>
  <si>
    <t>Keeping pressurized water in fire line</t>
  </si>
  <si>
    <t>Laying fire proof fabric for protection during hotworks</t>
  </si>
  <si>
    <t>Fire watchman (8 hours per man) - Compulsory</t>
  </si>
  <si>
    <t>Providing watchmen for security of vessel if required</t>
  </si>
  <si>
    <t>Connection &amp; disconnection of ballast water line</t>
  </si>
  <si>
    <t>Ballast water supply</t>
  </si>
  <si>
    <t>Connection &amp; disconnection of fresh water line</t>
  </si>
  <si>
    <t>Supply fresh water by truck</t>
  </si>
  <si>
    <t>Connection and disconnection of cable</t>
  </si>
  <si>
    <t>Provide electric power 440V, 60Hz</t>
  </si>
  <si>
    <t>Provide electric power 380V, 50Hz</t>
  </si>
  <si>
    <t>Docking / Undocking operation</t>
  </si>
  <si>
    <t>Docking days</t>
  </si>
  <si>
    <t>Safe berth - wharfage fee</t>
  </si>
  <si>
    <t>Connection &amp; disconnection of cooling water line</t>
  </si>
  <si>
    <t>Providing sea water</t>
  </si>
  <si>
    <t>Cleaning of all aspects/spaces - free of charge for Shipyard Works</t>
  </si>
  <si>
    <t>Bilge water disposal fee</t>
  </si>
  <si>
    <t>Sludge disposal fee</t>
  </si>
  <si>
    <t>Fixed service price for barge or truck</t>
  </si>
  <si>
    <t>Garbage disposal daily (1 container up to 1.5m3)</t>
  </si>
  <si>
    <t>Connection &amp; disconnection of sewage line</t>
  </si>
  <si>
    <t>Discharging sewage</t>
  </si>
  <si>
    <t>Connection and disconnection of compressed air line</t>
  </si>
  <si>
    <t>Compressed air supply</t>
  </si>
  <si>
    <t>Dock trial attendance after completion of repairs - free of charge</t>
  </si>
  <si>
    <t>Sea trial attendance after completion of repairs - free of charge</t>
  </si>
  <si>
    <t>Providing internet onboard the vessel - free of charge</t>
  </si>
  <si>
    <t>Superintendent's office - free of charge</t>
  </si>
  <si>
    <t>Supply of one mobile for local usage - free of charge</t>
  </si>
  <si>
    <t>Heavy duty paper/plastic protective sheet on passage way decks</t>
  </si>
  <si>
    <t>Bottom plug - Not quoted in shipyard offer</t>
  </si>
  <si>
    <t>Opening &amp; closing of manholes (up to 400x600mm)</t>
  </si>
  <si>
    <t>Renewal of Y/S manhole gaskets</t>
  </si>
  <si>
    <t>Renewal of bolt and nuts</t>
  </si>
  <si>
    <t>Renewal of stainless steel studs</t>
  </si>
  <si>
    <t>Block arrangement for dock preparation - included above (1.13)</t>
  </si>
  <si>
    <t>Dock cleaning - free of charge for Shipyard Works</t>
  </si>
  <si>
    <t>Usage of the Crane (cap. 15 ton) min 1 hour</t>
  </si>
  <si>
    <t>Forklift service (min 0.5 hour)</t>
  </si>
  <si>
    <t>Cherry picker service (min 0.5 hour)</t>
  </si>
  <si>
    <t>Cherry picker service for Owner - per machine per shift</t>
  </si>
  <si>
    <t>Flood light (1000W) for inspection - per light</t>
  </si>
  <si>
    <t>Scaffolding outside of vessel</t>
  </si>
  <si>
    <t>Scaffolding inside of cargo hold</t>
  </si>
  <si>
    <t>Scaffolding inside of tank and closed region</t>
  </si>
  <si>
    <t>Scaffolding tower type (base area max 6.25m2)</t>
  </si>
  <si>
    <t>Temporary safety handrails - per running meter of wire</t>
  </si>
  <si>
    <t>Skilled worker - mechanical works (8h shift)</t>
  </si>
  <si>
    <t>Skilled worker - steel, piping works (8h shift)</t>
  </si>
  <si>
    <t>Un-skilled worker - cleaner, painter (8h shift)</t>
  </si>
  <si>
    <t>Carpenter works (8h shift)</t>
  </si>
  <si>
    <t>Electrical works (8h shift)</t>
  </si>
  <si>
    <t>Insulation, ventilation and panel workmanship</t>
  </si>
  <si>
    <t>Paint workmanship</t>
  </si>
  <si>
    <t>Veeing out / rewelding - per pass, min 1 meter</t>
  </si>
  <si>
    <t>Welding and grinding cracks (max 1m crack)</t>
  </si>
  <si>
    <t>Welding of rudder - per pass, min 1 meter</t>
  </si>
  <si>
    <t>Ultrasonic thickness measurement (min 250 points)</t>
  </si>
  <si>
    <t>Ultrasonic welding / steel control service</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</si>
  <si>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</si>
  <si>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</si>
  <si>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</si>
  <si>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</si>
  <si>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</si>
  <si>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</si>
  <si>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</si>
  <si>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</si>
  <si>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</si>
  <si>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</si>
  <si>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</si>
  <si>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</si>
  <si>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</si>
  <si>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</si>
  <si>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</si>
  <si>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</si>
  <si>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</si>
  <si>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</si>
  <si>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</si>
  <si>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</si>
  <si>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</si>
  <si>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</si>
  <si>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</si>
  <si>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</si>
  <si>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</si>
  <si>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</si>
  <si>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</si>
  <si>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</si>
  <si>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</si>
  <si>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</si>
  <si>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</si>
  <si>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</si>
  <si>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</si>
  <si>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</si>
  <si>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</si>
  <si>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2.1</t>
  </si>
  <si>
    <t>2.2</t>
  </si>
  <si>
    <t>2.3</t>
  </si>
  <si>
    <t>2.4</t>
  </si>
  <si>
    <t>2.5</t>
  </si>
  <si>
    <t>2.5.1</t>
  </si>
  <si>
    <t>2.6</t>
  </si>
  <si>
    <t>2.7</t>
  </si>
  <si>
    <t>2.8</t>
  </si>
  <si>
    <t>2.9</t>
  </si>
  <si>
    <t>2.10</t>
  </si>
  <si>
    <t>2.11</t>
  </si>
  <si>
    <t>2.12</t>
  </si>
  <si>
    <t>2.13</t>
  </si>
  <si>
    <t>2.14</t>
  </si>
  <si>
    <t>2.15</t>
  </si>
  <si>
    <t>Closing of side shell scupper discharges / wooden plugs</t>
  </si>
  <si>
    <t>Hull paint preparation - chemical removal of oil stains</t>
  </si>
  <si>
    <t>Top Side - HP washing before grit blasting</t>
  </si>
  <si>
    <t>Top Side - Grit blasting SA 2.0</t>
  </si>
  <si>
    <t>Top Side - Grit blasting SA 1.0</t>
  </si>
  <si>
    <t>Top Side - A/C touch up - 1st</t>
  </si>
  <si>
    <t>Top Side - A/C touch up - 2nd</t>
  </si>
  <si>
    <t>Top Side - Full coat - 1st</t>
  </si>
  <si>
    <t>Top Side - Full coat - 2nd</t>
  </si>
  <si>
    <t>Top Side - FW wash down after 1st touch up</t>
  </si>
  <si>
    <t>Vertical Side - HP washing before grit blasting</t>
  </si>
  <si>
    <t>Vertical Side - Grit blasting SA 2.0</t>
  </si>
  <si>
    <t>Vertical Side - Full coat - 1st</t>
  </si>
  <si>
    <t>Vertical Side - Full coat - 2nd</t>
  </si>
  <si>
    <t>Vertical Side - Full coat - 3rd</t>
  </si>
  <si>
    <t>Vertical Side - FW wash down after 1st touch up</t>
  </si>
  <si>
    <t>Flat Bottom - HP washing before grit blasting</t>
  </si>
  <si>
    <t>Flat Bottom - Grit blasting SA 2.0</t>
  </si>
  <si>
    <t>Flat Bottom - Full coat - 1st</t>
  </si>
  <si>
    <t>Flat Bottom - Full coat - 2nd</t>
  </si>
  <si>
    <t>Flat Bottom - Full coat - 3rd</t>
  </si>
  <si>
    <t>Flat Bottom - FW wash down after 1st touch up</t>
  </si>
  <si>
    <t>Fitting of hull anodes (outside) with Owner supply anodes</t>
  </si>
  <si>
    <t>Painting of Plimsoll, draft marks, vessel and home port names</t>
  </si>
  <si>
    <t>Boot top line</t>
  </si>
  <si>
    <t>Dismantle &amp; refit bow thruster tunnel gratings, clean, blast, paint</t>
  </si>
  <si>
    <t>Dismantle &amp; refit stern thruster tunnel gratings, clean, blast, paint</t>
  </si>
  <si>
    <t>Funnel - 450 bar HPFWJ cleaning</t>
  </si>
  <si>
    <t>Funnel - Mechanical wire brushing with Power Disc (80%)</t>
  </si>
  <si>
    <t>Funnel - Touch up 1 coat</t>
  </si>
  <si>
    <t>Funnel - Final coat 1 coat</t>
  </si>
  <si>
    <t>Funnel - Scaffolding outside of vessel</t>
  </si>
  <si>
    <t>Hatch cover - Pressurized fresh water washing (350-450 bar)</t>
  </si>
  <si>
    <t>Hatch cover - Low pressure fresh water washing</t>
  </si>
  <si>
    <t>Hatch cover - Water blasting WJ 2.0 (1000-1500 bar)</t>
  </si>
  <si>
    <t>Hatch cover - Touch up with O/S paint - 2 coats</t>
  </si>
  <si>
    <t>Hatch cover - Full coat with O/S paint - 1 coat</t>
  </si>
  <si>
    <t>Main Deck - Pressurized fresh water washing</t>
  </si>
  <si>
    <t>Main Deck - Low pressure fresh water washing</t>
  </si>
  <si>
    <t>Main Deck - Water blasting WJ 2.0</t>
  </si>
  <si>
    <t>Main Deck - Touch up with O/S paint - 2 coats</t>
  </si>
  <si>
    <t>Main Deck - Full coat with O/S paint - 1 coat</t>
  </si>
  <si>
    <t>Hatch Coaming Top - Pressurized fresh water washing</t>
  </si>
  <si>
    <t>Hatch Coaming Top - Grit Blasting to SA 2.0</t>
  </si>
  <si>
    <t>Hatch Coaming Top - Touch up with O/S paint - 2 coats</t>
  </si>
  <si>
    <t>Hatch Coaming Top - Full coat with O/S paint - 1 coat</t>
  </si>
  <si>
    <t>Cargo Hold Tank Top - Pressurized fresh water washing</t>
  </si>
  <si>
    <t>Cargo Hold Tank Top - Grit Blasting to SA 2.0</t>
  </si>
  <si>
    <t>Cargo Hold Tank Top - Touch up with O/S paint - 2 coats</t>
  </si>
  <si>
    <t>Cargo Hold Tank Top - Full coat with O/S paint - 1 coat</t>
  </si>
  <si>
    <t>Accommodation - Pressurized fresh water washing</t>
  </si>
  <si>
    <t>Accommodation - Water blasting WJ 2.0</t>
  </si>
  <si>
    <t>Accommodation - Touch up with O/S paint - 2 coats</t>
  </si>
  <si>
    <t>Accommodation - Full coat with O/S paint - 1 coat</t>
  </si>
  <si>
    <t>WBT - Scaffolding inside of tank and closed region</t>
  </si>
  <si>
    <t>WBT - Hydro blasting 1000 bar</t>
  </si>
  <si>
    <t>WBT - T/U coat painting - 2 coat</t>
  </si>
  <si>
    <t>Cargo crane columns blasting and painting - Not quoted in shipyard offer</t>
  </si>
  <si>
    <t>Wind Breaker - To be quoted after inspection</t>
  </si>
  <si>
    <t>Cargo Hold Sides - Pressurized fresh water washing</t>
  </si>
  <si>
    <t>Cargo Hold Sides - Grit Blasting to SA 2.0 (Estimated 4980 m2)</t>
  </si>
  <si>
    <t>Cargo Hold Sides - Touch up with O/S paint - 2 coats</t>
  </si>
  <si>
    <t>Cargo Hold Sides - Full coat with O/S paint - 1 coat</t>
  </si>
  <si>
    <t>Cargo Hold Sides - Cherry picker service (Estimated 120 shifts)</t>
  </si>
  <si>
    <t>Chain Locker - Please refer to item 4.2</t>
  </si>
  <si>
    <t>Staging</t>
  </si>
  <si>
    <t>▼ To be changed by commence date (Important!)</t>
  </si>
  <si>
    <t>Steel renewal tariff - between 0 - 10 tons</t>
  </si>
  <si>
    <t>Steel renewal tariff - over 10 tons</t>
  </si>
  <si>
    <t>Steel renewals inside tanks (TST or Wing Tanks &amp; DB tank internals), closed regions,
Cargo tanks/holds +%25</t>
  </si>
  <si>
    <t>Light Steel</t>
  </si>
  <si>
    <t xml:space="preserve">Renewal of flat bar on deck up to 10 kg./m </t>
  </si>
  <si>
    <t>Renewal of angle bar on deck up to 10 kg./m</t>
  </si>
  <si>
    <t>Replacement of cell guides 150x150x15mm, min 1m (Estimated 500m)</t>
  </si>
  <si>
    <t>Renewal of rubber channels (L profile)</t>
  </si>
  <si>
    <t>Transportation of hatch covers ashore and back - up to 25 tons</t>
  </si>
  <si>
    <t>Fitting and welding of Lashing Eye</t>
  </si>
  <si>
    <t>Renewal of single raised ISO sockets with O/S spares</t>
  </si>
  <si>
    <t>Renewal of double raised ISO sockets with O/S spares</t>
  </si>
  <si>
    <t>Renewal of Cone</t>
  </si>
  <si>
    <t>Louver ventilator rubber gasket renewal (Y/S)</t>
  </si>
  <si>
    <t>Louver ventilator soft steel renewal - to be quoted after inspection</t>
  </si>
  <si>
    <t>Mushroom vent head - dismantle/transport/refit up to 500mm</t>
  </si>
  <si>
    <t>Mushroom vent head - grit blast &amp; paint up to 500mm</t>
  </si>
  <si>
    <t>Renewal of chequered plate/rain drops shape 5/6mm</t>
  </si>
  <si>
    <t>FOT No3 C DB - Plate AH36 (10.0) 500x1000mm (Estimated 40 kg)</t>
  </si>
  <si>
    <t>FOT No3 C DB - Insert plate 400x400mm (Estimated 40kg)</t>
  </si>
  <si>
    <t>FOT No3 C DB - engine room area surcharge 35%</t>
  </si>
  <si>
    <t>FOT No3 C DB - high grade steel AH36 surcharge 15%</t>
  </si>
  <si>
    <t>The Port side chain locker the round plate 5970X2000X8 mm to be replaced at the dedicated area and STB chain locker the round plate 5970X1500X8 mm to be replace</t>
  </si>
  <si>
    <t>Fore/ aft peak, pump room, chain locker, accommodation and engine room to be
charged 35% extra</t>
  </si>
  <si>
    <t>Traverce Bulkead at FR 43 1/2 (CH N04 / ER)</t>
  </si>
  <si>
    <t>STBD side plate 5800X300X9mm to be replace- Estimated 125 kg</t>
  </si>
  <si>
    <t>Frame 85 (CH 3 / HFO)</t>
  </si>
  <si>
    <t>STBD side plate 2800X300X10mm to be replace- Estimated 67 kg</t>
  </si>
  <si>
    <t>Traverce bulhead at fr 126 (CH No2 / HFO 1 STBD / PS, Overflow)</t>
  </si>
  <si>
    <t>STBD side plate 3800X300X8.5mm to be replaced- 78kg</t>
  </si>
  <si>
    <t>WBT No2 PS Web Frame  126, Web frame 144</t>
  </si>
  <si>
    <t>Plate 12500X300X9mm to be replaced- Estimated 270 kg</t>
  </si>
  <si>
    <t>WBT No2 Stbd Web Frame  126, Web frame 144</t>
  </si>
  <si>
    <t>Traverce bulhead at fr 145 (CH No2 / CH No1)</t>
  </si>
  <si>
    <t>Plate 2700X300X9mm to be replaced- 58 kg</t>
  </si>
  <si>
    <t>Double bottom tank No1 C Web frame No156</t>
  </si>
  <si>
    <t>Steel renewals inside tanks (TST or Wing Tanks &amp; DB tank internals), closed regions, Cargo tanks/holds +%25</t>
  </si>
  <si>
    <t>Double bottom tank No1 C PS Web frame146 -156</t>
  </si>
  <si>
    <t>Plate 1700X300X8mm to be replaced &amp; 1900X300X8 to be replaced- 69 kg</t>
  </si>
  <si>
    <t>Double bottom tank No1 C STBD Web frame146 -156</t>
  </si>
  <si>
    <t>Plate 2700X300X8mm to be replaced - 52 kg</t>
  </si>
  <si>
    <t>WBT No1 Stbd Web frame 164</t>
  </si>
  <si>
    <t>Plate 800X300X8mm to be replaced - 41 kg</t>
  </si>
  <si>
    <t>Double bottom</t>
  </si>
  <si>
    <t>Renewal of manhole cover 800x600 (void space)</t>
  </si>
  <si>
    <t>Renewal of manhole cover 600x400 (FOT No2)</t>
  </si>
  <si>
    <t>Collapsible frame repair - angle bar renewal (Estimated 50 meters)</t>
  </si>
  <si>
    <t>Renewal Soft Steel on Deck</t>
  </si>
  <si>
    <t>Plate 10000X2700X10mm / 900x900x10 / 900x900x12.5 / 2500X3400X10 / 2900X2800X12.5 / 1600X600X10 / 1400X400X10 / 3100X600X10 / 5400X2900X12.5 /
5400X2800X11mm to be replaced - Estimated 3900 kg</t>
  </si>
  <si>
    <t>3.1</t>
  </si>
  <si>
    <t>3.2</t>
  </si>
  <si>
    <t>3.3</t>
  </si>
  <si>
    <t>3.4</t>
  </si>
  <si>
    <t>3.5</t>
  </si>
  <si>
    <t>3.6</t>
  </si>
  <si>
    <t>3.7</t>
  </si>
  <si>
    <t>3.10</t>
  </si>
  <si>
    <t>3.11</t>
  </si>
  <si>
    <t>3.12</t>
  </si>
  <si>
    <t>3.13</t>
  </si>
  <si>
    <t>3.14</t>
  </si>
  <si>
    <t>3.15</t>
  </si>
  <si>
    <t>3.16</t>
  </si>
  <si>
    <t>4.1</t>
  </si>
  <si>
    <t>4.2</t>
  </si>
  <si>
    <t>4.3</t>
  </si>
  <si>
    <t>4.4</t>
  </si>
  <si>
    <t>4.5</t>
  </si>
  <si>
    <t>4.6</t>
  </si>
  <si>
    <t>4.7</t>
  </si>
  <si>
    <t>4.8</t>
  </si>
  <si>
    <t>4.11</t>
  </si>
  <si>
    <t>4.12</t>
  </si>
  <si>
    <t>4.13</t>
  </si>
  <si>
    <t>4.14</t>
  </si>
  <si>
    <t>4.15</t>
  </si>
  <si>
    <t>Ranging of anchors &amp; chains, washing, calibration, marking (per side)</t>
  </si>
  <si>
    <t>Opening up, cleaning &amp; painting of chain locker (up to 2m, O/S paint)</t>
  </si>
  <si>
    <t>Windlass - renewal of brake lining O/S - per meter</t>
  </si>
  <si>
    <t>Mooring winch - renewal of brake lining O/S - per meter</t>
  </si>
  <si>
    <t>Provision crane load test - SWL 2T</t>
  </si>
  <si>
    <t>Accommodation ladder - remove to workshop &amp; refit</t>
  </si>
  <si>
    <t>Accommodation ladder load test</t>
  </si>
  <si>
    <t>Accommodation ladder steps renewal - Al - per step</t>
  </si>
  <si>
    <t>Deck valve - butterfly/gate/storm overhaul in situ (Estimated 16 pcs, 1560 mm)</t>
  </si>
  <si>
    <t>Fire line pipe Main Deck Bay 34 - DN 125 (5") SCH40</t>
  </si>
  <si>
    <t>PN type flange DN 125</t>
  </si>
  <si>
    <t>Elbow DN 125</t>
  </si>
  <si>
    <t>CH No.1&amp;2 hydraulic block overhaul with O/S spares</t>
  </si>
  <si>
    <t>CH No.1 hydraulic cylinders overhaul - 200/125-1375 with O/S spares</t>
  </si>
  <si>
    <t>CH No.2 hydraulic cylinders overhaul - 300/160-1015 with O/S spares</t>
  </si>
  <si>
    <t>Galley grease trap fabrication - soft steel renewal</t>
  </si>
  <si>
    <t>HC rubber replacement</t>
  </si>
  <si>
    <t>Life boat - Load test only</t>
  </si>
  <si>
    <t>Rescue boat - Load test only</t>
  </si>
  <si>
    <t>5.1</t>
  </si>
  <si>
    <t>5.2</t>
  </si>
  <si>
    <t>5.3</t>
  </si>
  <si>
    <t>5.4</t>
  </si>
  <si>
    <t>5.5</t>
  </si>
  <si>
    <t>5.5.1</t>
  </si>
  <si>
    <t>5.6</t>
  </si>
  <si>
    <t>5.7</t>
  </si>
  <si>
    <t>5.9</t>
  </si>
  <si>
    <t>5.10</t>
  </si>
  <si>
    <t>5.11</t>
  </si>
  <si>
    <t>5.12</t>
  </si>
  <si>
    <t>5.13</t>
  </si>
  <si>
    <t>5.14</t>
  </si>
  <si>
    <t>5.15</t>
  </si>
  <si>
    <t>5.16</t>
  </si>
  <si>
    <t>5.20</t>
  </si>
  <si>
    <t>5.27</t>
  </si>
  <si>
    <t>5.28</t>
  </si>
  <si>
    <t>5.32</t>
  </si>
  <si>
    <t>Polishing of propeller blades</t>
  </si>
  <si>
    <t>Dye penetration checking of propeller blades</t>
  </si>
  <si>
    <t>Removal and refitting of propeller rope guard</t>
  </si>
  <si>
    <t>Anode on rope guard renewed by yard material</t>
  </si>
  <si>
    <t>Net cutter newly installed on 4 location by yard material (SUS)</t>
  </si>
  <si>
    <t>Taking deep gauge measurements</t>
  </si>
  <si>
    <t>Releasing/refitting hydraulic coupling &amp; withdrawal of tailshaft with CPP hub (shaft dia)</t>
  </si>
  <si>
    <t>Dismantling and refitting owner supply simplex seals.(per set, per outer dia.)</t>
  </si>
  <si>
    <t>Measurements of shaft clearances</t>
  </si>
  <si>
    <t>Fwd &amp; Aft seal renewed by maker engineer with yard assistance</t>
  </si>
  <si>
    <t>MPI test of shaft keyway - per service</t>
  </si>
  <si>
    <t>Polishing of shaft connection bolts (Up to 70X400mm)</t>
  </si>
  <si>
    <t>Machining of chrome liner at workshop</t>
  </si>
  <si>
    <t>Cutting &amp; rewelding of rudder pintle and rudder stock covers</t>
  </si>
  <si>
    <t>Measurement of rudder stock / pintle bush / bearing clearances</t>
  </si>
  <si>
    <t>Air test of rudder blade (0.2 kg/cm2)</t>
  </si>
  <si>
    <t>Dismounting &amp; refitting of rudder drain plug and renewal of gasket</t>
  </si>
  <si>
    <t>Dismantling &amp; refitting of rudder blade  / kort nozzle</t>
  </si>
  <si>
    <t>Removal of gratings, HPWJ washing, cleaning and painting (O/S paint)</t>
  </si>
  <si>
    <t>If there is more than one grating for every sea chest (for each additional grating)</t>
  </si>
  <si>
    <t>Polishing of bow thruster propeller</t>
  </si>
  <si>
    <t>Bow thruster overhaul with O/S spares</t>
  </si>
  <si>
    <t>Polishing of stern thruster propeller</t>
  </si>
  <si>
    <t>Stern thruster overhaul with O/S spares</t>
  </si>
  <si>
    <t>Load test of E/R crane (SWL 2 MT)</t>
  </si>
  <si>
    <t>M/E air cooler - open end covers, chemical clean/wash, hydro test, reclose</t>
  </si>
  <si>
    <t>ME L.O cooler - remove, chemical clean plates, renew gaskets, test, refit</t>
  </si>
  <si>
    <t>LT coolers - remove, chemical clean plates, renew gaskets, test, refit</t>
  </si>
  <si>
    <t>ME HT cooler - remove, chemical clean plates, renew gaskets, test, refit</t>
  </si>
  <si>
    <t>Heater (M/E jacket preheater, tube type) - Not quoted in shipyard offer</t>
  </si>
  <si>
    <t>No.HFO SETT - 65,3 m³</t>
  </si>
  <si>
    <t>Day Tank-20,2 m³</t>
  </si>
  <si>
    <t>FO No3 C - 91,4 m³</t>
  </si>
  <si>
    <t>FO No4/5 C  80,1 m³</t>
  </si>
  <si>
    <t>FO No2 P-  154,5 m³</t>
  </si>
  <si>
    <t>FO No2 S-  171 m³</t>
  </si>
  <si>
    <t>FO No1 S-  112.09 m³</t>
  </si>
  <si>
    <t>FO No2 S-  115.82 m³</t>
  </si>
  <si>
    <t>SLUDGE TANK  - 32,9 m³</t>
  </si>
  <si>
    <t>OILY BILGE TANK  - 10,7 m³</t>
  </si>
  <si>
    <t>Aux. boiler - open door &amp; side access door for inspection, cleaning, close up</t>
  </si>
  <si>
    <t>Aux. boiler - safety valve overhaul</t>
  </si>
  <si>
    <t>Main cooling S.W pump - 340 m3/h</t>
  </si>
  <si>
    <t>F.W.G ejector pump - 56 m3/h</t>
  </si>
  <si>
    <t>E/R overboard valve - butterfly/gate/storm overhaul in situ</t>
  </si>
  <si>
    <t>E/R overboard valve renewal with O/S valve - 3 pcs - 130 mm</t>
  </si>
  <si>
    <t>E/R valve - butterfly/gate/storm overhaul in situ (Estimated 2060 mm)</t>
  </si>
  <si>
    <t>Sewage line in E/R - DN 50 (2") SCH40 galvanized</t>
  </si>
  <si>
    <t>Sewage line in E/R - PN type flange DN 50</t>
  </si>
  <si>
    <t>Sewage line in E/R - Elbow DN 50</t>
  </si>
  <si>
    <t>Sewage line in steering gear - DN 50 (2") SCH40 galvanized</t>
  </si>
  <si>
    <t>Sewage line in steering gear - PN type flange DN 50</t>
  </si>
  <si>
    <t>Sewage line in steering gear - Elbow DN 50</t>
  </si>
  <si>
    <t>Sea water cooler inlet - DN 200 SCH80 galvanized</t>
  </si>
  <si>
    <t>Sea water cooler inlet - PN type flange DN 200</t>
  </si>
  <si>
    <t>Sea water cooler outlet - DN 200 SCH80 galvanized</t>
  </si>
  <si>
    <t>Sea water cooler outlet - PN type flange DN 200</t>
  </si>
  <si>
    <t>Main air reservoir survey - open manhole, clean, close (Q'ty 2)</t>
  </si>
  <si>
    <t>Aux/emergency air reservoir survey - open manhole, clean, close (Q'ty 1)</t>
  </si>
  <si>
    <t>Air receiver safety valve overhaul</t>
  </si>
  <si>
    <t>Steering gear hydraulic cylinders (2 pcs) OH with Owner spares</t>
  </si>
  <si>
    <t>Steering gear hydraulic pump OH with Owner spares</t>
  </si>
  <si>
    <t>Steering gear hydraulic control block OH with Owner spares</t>
  </si>
  <si>
    <t>Sewage treatment plant - thoroughly cleaned and ventilated</t>
  </si>
  <si>
    <t>Sewage treatment plant - chambers coated O/S paint and leakage test</t>
  </si>
  <si>
    <t>Dismantling and refitting of pitch propeller (per blade) including renewal of owner supply o-ring.</t>
  </si>
  <si>
    <t>Electric motor overhaul tariff - up to 6kW</t>
  </si>
  <si>
    <t>Electric motor overhaul tariff - 6-11kW</t>
  </si>
  <si>
    <t>Electric motor overhaul tariff - 12-22kW</t>
  </si>
  <si>
    <t>Electric motor overhaul tariff - 23-36kW</t>
  </si>
  <si>
    <t>Electric motor overhaul tariff - 37-41kW</t>
  </si>
  <si>
    <t>Electric motor overhaul tariff - 42-53kW</t>
  </si>
  <si>
    <t>Electric motor overhaul tariff - 54-66kW</t>
  </si>
  <si>
    <t>Electric motor overhaul tariff - 67-85kW</t>
  </si>
  <si>
    <t>Electric motor overhaul tariff - 86-100kW</t>
  </si>
  <si>
    <t>Electric motor overhaul tariff - 101-125kW</t>
  </si>
  <si>
    <t>Electric motor overhaul tariff - 126-150kW</t>
  </si>
  <si>
    <t>Electric motor overhaul tariff - 151-200kW</t>
  </si>
  <si>
    <t>Electric motor overhaul tariff - 201-300kW</t>
  </si>
  <si>
    <t>Electric motor overhaul tariff - more than 300kW</t>
  </si>
  <si>
    <t>Main L.O pump motor overhaul</t>
  </si>
  <si>
    <t>ER fan no.1 and no.2 - 36 kw motor overhaul</t>
  </si>
  <si>
    <t>ER fan 36kw - fan motors 60% extra</t>
  </si>
  <si>
    <t>ER fan 36kw - impeller dynamic balance 30% extra</t>
  </si>
  <si>
    <t>CH fan no.1 - 1.5kw motor overhaul</t>
  </si>
  <si>
    <t>CH fan no.1 - fan motors 60% extra</t>
  </si>
  <si>
    <t>CH fan no.1 - impeller dynamic balance 30% extra</t>
  </si>
  <si>
    <t>CH fan no.2 - 4 kw motor overhaul</t>
  </si>
  <si>
    <t>CH fan no.2 - fan motors 60% extra</t>
  </si>
  <si>
    <t>CH fan no.2 - impeller dynamic balance 30% extra</t>
  </si>
  <si>
    <t>CH fan no.3 - 7.5 kw motor overhaul</t>
  </si>
  <si>
    <t>CH fan no.3 - fan motors 60% extra</t>
  </si>
  <si>
    <t>CH fan no.3 - impeller dynamic balance 30% extra</t>
  </si>
  <si>
    <t>CH fan no.4 - 7.5 kw motor overhaul</t>
  </si>
  <si>
    <t>CH fan no.4 - fan motors 60% extra</t>
  </si>
  <si>
    <t>CH fan no.4 - impeller dynamic balance 30% extra</t>
  </si>
  <si>
    <t>ICCP - scaffolding outside of vessel</t>
  </si>
  <si>
    <t>Main switch board - clean &amp; retighten connections</t>
  </si>
  <si>
    <t>Emergency switch board - clean &amp; retighten connections</t>
  </si>
  <si>
    <t>6.1</t>
  </si>
  <si>
    <t>6.2</t>
  </si>
  <si>
    <t>6.3</t>
  </si>
  <si>
    <t>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</si>
</sst>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quot;-&quot;mmm;@"/>
    <numFmt numFmtId="165" formatCode="_-\$* #,##0.00_ ;_-\$* \-#,##0.00\ ;_-\$* &quot;-&quot;??_ ;_-@_ "/>
    <numFmt numFmtId="166" formatCode="_-\$* #,##0_ ;_-\$* \-#,##0\ ;_-\$* &quot;-&quot;??_ ;_-@_ "/>
    <numFmt numFmtId="167" formatCode="##\ &quot;Days&quot;"/>
    <numFmt numFmtId="168" formatCode="d"/>
    <numFmt numFmtId="169" formatCode="_-[$$-409]* #,##0.00_ ;_-[$$-409]* \-#,##0.00\ ;_-[$$-409]* &quot;-&quot;??_ ;_-@_ "/>
  </numFmts>
  <fonts count="20">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charset val="129"/>
      <scheme val="minor"/>
    </font>
    <font>
      <sz val="8"/>
      <name val="Calibri"/>
      <family val="2"/>
      <charset val="129"/>
      <scheme val="minor"/>
    </font>
    <font>
      <b/>
      <sz val="11"/>
      <color rgb="FF006100"/>
      <name val="Calibri"/>
      <family val="3"/>
      <charset val="129"/>
      <scheme val="minor"/>
    </font>
    <font>
      <b/>
      <sz val="11"/>
      <color theme="1"/>
      <name val="Calibri"/>
      <family val="3"/>
      <charset val="129"/>
      <scheme val="minor"/>
    </font>
    <font>
      <sz val="11"/>
      <color rgb="FF9C0006"/>
      <name val="Calibri"/>
      <family val="2"/>
      <scheme val="minor"/>
    </font>
    <font>
      <i/>
      <sz val="11"/>
      <color rgb="FF7F7F7F"/>
      <name val="Calibri"/>
      <family val="2"/>
      <scheme val="minor"/>
    </font>
    <font>
      <sz val="11"/>
      <color theme="0"/>
      <name val="Calibri"/>
      <family val="2"/>
      <scheme val="minor"/>
    </font>
    <font>
      <sz val="11"/>
      <color rgb="FF9C5700"/>
      <name val="Calibri"/>
      <family val="2"/>
      <charset val="129"/>
      <scheme val="minor"/>
    </font>
    <font>
      <b/>
      <sz val="11"/>
      <color rgb="FFFF0000"/>
      <name val="Calibri"/>
      <family val="3"/>
      <charset val="129"/>
      <scheme val="minor"/>
    </font>
    <font>
      <sz val="11"/>
      <color theme="0"/>
      <name val="Calibri"/>
      <family val="2"/>
      <charset val="129"/>
      <scheme val="minor"/>
    </font>
    <font>
      <sz val="11"/>
      <color rgb="FF006100"/>
      <name val="Calibri"/>
      <family val="2"/>
      <scheme val="minor"/>
    </font>
    <font>
      <sz val="11"/>
      <color rgb="FF9C5700"/>
      <name val="Calibri"/>
      <family val="2"/>
      <scheme val="minor"/>
    </font>
    <font>
      <sz val="11"/>
      <color rgb="FFFF0000"/>
      <name val="Calibri"/>
      <family val="2"/>
      <charset val="129"/>
      <scheme val="minor"/>
    </font>
    <font>
      <sz val="11"/>
      <color rgb="FFFF0000"/>
      <name val="Calibri"/>
      <family val="3"/>
      <charset val="129"/>
      <scheme val="minor"/>
    </font>
    <font>
      <b/>
      <u/>
      <sz val="11"/>
      <color rgb="FFFF0000"/>
      <name val="Calibri"/>
      <family val="3"/>
      <charset val="129"/>
      <scheme val="minor"/>
    </font>
    <font>
      <i/>
      <sz val="11"/>
      <color theme="1"/>
      <name val="Calibri"/>
      <family val="2"/>
      <scheme val="minor"/>
    </font>
  </fonts>
  <fills count="13">
    <fill>
      <patternFill patternType="none"/>
    </fill>
    <fill>
      <patternFill patternType="gray125"/>
    </fill>
    <fill>
      <patternFill patternType="solid">
        <fgColor rgb="FFC6EFCE"/>
      </patternFill>
    </fill>
    <fill>
      <patternFill patternType="solid">
        <fgColor rgb="FF00B0F0"/>
        <bgColor indexed="64"/>
      </patternFill>
    </fill>
    <fill>
      <patternFill patternType="solid">
        <fgColor rgb="FFFF0000"/>
        <bgColor indexed="64"/>
      </patternFill>
    </fill>
    <fill>
      <patternFill patternType="solid">
        <fgColor rgb="FFFFFF00"/>
        <bgColor indexed="64"/>
      </patternFill>
    </fill>
    <fill>
      <patternFill patternType="solid">
        <fgColor rgb="FFFFC7CE"/>
      </patternFill>
    </fill>
    <fill>
      <patternFill patternType="solid">
        <fgColor theme="9"/>
      </patternFill>
    </fill>
    <fill>
      <patternFill patternType="solid">
        <fgColor rgb="FFFFEB9C"/>
      </patternFill>
    </fill>
    <fill>
      <patternFill patternType="solid">
        <fgColor theme="0"/>
        <bgColor indexed="64"/>
      </patternFill>
    </fill>
    <fill>
      <patternFill patternType="solid">
        <fgColor rgb="FF00B050"/>
        <bgColor indexed="64"/>
      </patternFill>
    </fill>
    <fill>
      <patternFill patternType="solid">
        <fgColor rgb="FFFFFFCC"/>
        <bgColor indexed="64"/>
      </patternFill>
    </fill>
    <fill>
      <patternFill patternType="solid">
        <fgColor theme="7"/>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hair">
        <color indexed="64"/>
      </right>
      <top style="hair">
        <color auto="1"/>
      </top>
      <bottom style="hair">
        <color auto="1"/>
      </bottom>
      <diagonal/>
    </border>
    <border>
      <left style="medium">
        <color auto="1"/>
      </left>
      <right style="hair">
        <color indexed="64"/>
      </right>
      <top style="hair">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style="hair">
        <color indexed="64"/>
      </left>
      <right style="hair">
        <color indexed="64"/>
      </right>
      <top style="hair">
        <color indexed="64"/>
      </top>
      <bottom style="hair">
        <color indexed="64"/>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right style="thin">
        <color auto="1"/>
      </right>
      <top style="thin">
        <color auto="1"/>
      </top>
      <bottom style="thin">
        <color auto="1"/>
      </bottom>
      <diagonal/>
    </border>
    <border>
      <left style="hair">
        <color auto="1"/>
      </left>
      <right style="hair">
        <color auto="1"/>
      </right>
      <top style="hair">
        <color auto="1"/>
      </top>
      <bottom style="thin">
        <color auto="1"/>
      </bottom>
      <diagonal/>
    </border>
    <border>
      <left/>
      <right style="hair">
        <color auto="1"/>
      </right>
      <top style="hair">
        <color auto="1"/>
      </top>
      <bottom style="thin">
        <color auto="1"/>
      </bottom>
      <diagonal/>
    </border>
    <border>
      <left/>
      <right style="hair">
        <color indexed="64"/>
      </right>
      <top style="hair">
        <color indexed="64"/>
      </top>
      <bottom style="hair">
        <color indexed="64"/>
      </bottom>
      <diagonal/>
    </border>
  </borders>
  <cellStyleXfs count="10">
    <xf numFmtId="0" fontId="0" fillId="0" borderId="0">
      <alignment vertical="center"/>
    </xf>
    <xf numFmtId="0" fontId="4" fillId="2" borderId="0" applyNumberFormat="0" applyBorder="0" applyAlignment="0" applyProtection="0">
      <alignment vertical="center"/>
    </xf>
    <xf numFmtId="0" fontId="8" fillId="6" borderId="0" applyNumberFormat="0" applyBorder="0" applyAlignment="0" applyProtection="0"/>
    <xf numFmtId="0" fontId="9" fillId="0" borderId="0" applyNumberFormat="0" applyFill="0" applyBorder="0" applyAlignment="0" applyProtection="0"/>
    <xf numFmtId="0" fontId="10" fillId="7" borderId="0" applyNumberFormat="0" applyBorder="0" applyAlignment="0" applyProtection="0"/>
    <xf numFmtId="0" fontId="11" fillId="8" borderId="0" applyNumberFormat="0" applyBorder="0" applyAlignment="0" applyProtection="0">
      <alignment vertical="center"/>
    </xf>
    <xf numFmtId="0" fontId="13" fillId="12" borderId="0" applyNumberFormat="0" applyBorder="0" applyAlignment="0" applyProtection="0">
      <alignment vertical="center"/>
    </xf>
    <xf numFmtId="0" fontId="3" fillId="0" borderId="0"/>
    <xf numFmtId="0" fontId="14" fillId="2" borderId="0" applyNumberFormat="0" applyBorder="0" applyAlignment="0" applyProtection="0"/>
    <xf numFmtId="0" fontId="15" fillId="8" borderId="0" applyNumberFormat="0" applyBorder="0" applyAlignment="0" applyProtection="0"/>
  </cellStyleXfs>
  <cellXfs count="106">
    <xf numFmtId="0" fontId="0" fillId="0" borderId="0" xfId="0">
      <alignment vertical="center"/>
    </xf>
    <xf numFmtId="0" fontId="0" fillId="0" borderId="0" xfId="0" applyProtection="1">
      <alignment vertical="center"/>
      <protection locked="0"/>
    </xf>
    <xf numFmtId="0" fontId="7" fillId="0" borderId="0" xfId="0" applyFont="1" applyAlignment="1" applyProtection="1">
      <alignment horizontal="center" vertical="center"/>
      <protection locked="0"/>
    </xf>
    <xf numFmtId="0" fontId="7" fillId="0" borderId="0" xfId="0" applyFont="1">
      <alignment vertical="center"/>
    </xf>
    <xf numFmtId="0" fontId="6" fillId="2" borderId="1" xfId="1" applyFont="1" applyBorder="1">
      <alignment vertical="center"/>
    </xf>
    <xf numFmtId="0" fontId="0" fillId="0" borderId="1" xfId="0" applyBorder="1">
      <alignment vertical="center"/>
    </xf>
    <xf numFmtId="0" fontId="6" fillId="2" borderId="1" xfId="1" applyFont="1" applyBorder="1" applyAlignment="1">
      <alignment vertical="center" wrapText="1"/>
    </xf>
    <xf numFmtId="0" fontId="0" fillId="0" borderId="1" xfId="0" applyBorder="1" applyAlignment="1">
      <alignment vertical="center" wrapText="1"/>
    </xf>
    <xf numFmtId="0" fontId="16" fillId="0" borderId="1" xfId="0" applyFont="1" applyBorder="1">
      <alignment vertical="center"/>
    </xf>
    <xf numFmtId="0" fontId="12" fillId="0" borderId="1" xfId="0" applyFont="1" applyBorder="1">
      <alignment vertical="center"/>
    </xf>
    <xf numFmtId="0" fontId="17" fillId="0" borderId="1" xfId="0" applyFont="1" applyBorder="1">
      <alignment vertical="center"/>
    </xf>
    <xf numFmtId="0" fontId="0" fillId="0" borderId="15" xfId="0" applyBorder="1">
      <alignment vertical="center"/>
    </xf>
    <xf numFmtId="0" fontId="2" fillId="0" borderId="0" xfId="0" applyFont="1" applyProtection="1">
      <alignment vertical="center"/>
      <protection locked="0"/>
    </xf>
    <xf numFmtId="0" fontId="2" fillId="0" borderId="0" xfId="0" applyFont="1">
      <alignment vertical="center"/>
    </xf>
    <xf numFmtId="0" fontId="2" fillId="3" borderId="0" xfId="0" applyFont="1" applyFill="1">
      <alignment vertical="center"/>
    </xf>
    <xf numFmtId="0" fontId="2" fillId="5" borderId="0" xfId="0" applyFont="1" applyFill="1">
      <alignment vertical="center"/>
    </xf>
    <xf numFmtId="0" fontId="2" fillId="10" borderId="0" xfId="0" applyFont="1" applyFill="1">
      <alignment vertical="center"/>
    </xf>
    <xf numFmtId="0" fontId="2" fillId="4" borderId="0" xfId="0" applyFont="1" applyFill="1">
      <alignment vertical="center"/>
    </xf>
    <xf numFmtId="49" fontId="2" fillId="0" borderId="2" xfId="7" applyNumberFormat="1" applyFont="1" applyBorder="1" applyAlignment="1">
      <alignment horizontal="center" vertical="center"/>
    </xf>
    <xf numFmtId="0" fontId="2" fillId="0" borderId="14" xfId="0" applyFont="1" applyBorder="1" applyAlignment="1" applyProtection="1">
      <alignment horizontal="center" vertical="center"/>
      <protection locked="0"/>
    </xf>
    <xf numFmtId="49" fontId="2" fillId="0" borderId="2" xfId="7" applyNumberFormat="1" applyFont="1" applyBorder="1" applyAlignment="1">
      <alignment horizontal="left"/>
    </xf>
    <xf numFmtId="0" fontId="2" fillId="9" borderId="14" xfId="0" applyFont="1" applyFill="1" applyBorder="1" applyAlignment="1" applyProtection="1">
      <alignment horizontal="center" vertical="center"/>
      <protection locked="0"/>
    </xf>
    <xf numFmtId="9" fontId="2" fillId="11" borderId="2" xfId="0" applyNumberFormat="1" applyFont="1" applyFill="1" applyBorder="1" applyAlignment="1" applyProtection="1">
      <alignment vertical="center" wrapText="1"/>
      <protection locked="0"/>
    </xf>
    <xf numFmtId="0" fontId="2" fillId="11" borderId="14" xfId="0" applyFont="1" applyFill="1" applyBorder="1" applyAlignment="1" applyProtection="1">
      <alignment vertical="center" wrapText="1"/>
      <protection locked="0"/>
    </xf>
    <xf numFmtId="165" fontId="2" fillId="0" borderId="2" xfId="0" applyNumberFormat="1" applyFont="1" applyBorder="1" applyAlignment="1">
      <alignment horizontal="center" vertical="center"/>
    </xf>
    <xf numFmtId="165" fontId="2" fillId="11" borderId="14" xfId="0" applyNumberFormat="1" applyFont="1" applyFill="1" applyBorder="1" applyAlignment="1" applyProtection="1">
      <alignment vertical="center" wrapText="1"/>
      <protection locked="0"/>
    </xf>
    <xf numFmtId="165" fontId="2" fillId="0" borderId="2" xfId="0" applyNumberFormat="1" applyFont="1" applyBorder="1" applyAlignment="1">
      <alignment vertical="center" wrapText="1"/>
    </xf>
    <xf numFmtId="16" fontId="2" fillId="11" borderId="14" xfId="0" applyNumberFormat="1" applyFont="1" applyFill="1" applyBorder="1" applyAlignment="1" applyProtection="1">
      <alignment vertical="center" wrapText="1"/>
      <protection locked="0"/>
    </xf>
    <xf numFmtId="167" fontId="2" fillId="0" borderId="14" xfId="0" applyNumberFormat="1" applyFont="1" applyBorder="1" applyAlignment="1">
      <alignment vertical="center" wrapText="1"/>
    </xf>
    <xf numFmtId="9" fontId="2" fillId="0" borderId="14" xfId="0" applyNumberFormat="1" applyFont="1" applyBorder="1" applyAlignment="1">
      <alignment vertical="center" wrapText="1"/>
    </xf>
    <xf numFmtId="14" fontId="2" fillId="0" borderId="1" xfId="0" applyNumberFormat="1" applyFont="1" applyBorder="1" applyAlignment="1">
      <alignment horizontal="center" vertical="center"/>
    </xf>
    <xf numFmtId="0" fontId="2" fillId="0" borderId="2" xfId="0" applyFont="1" applyBorder="1" applyAlignment="1" applyProtection="1">
      <alignment horizontal="center" vertical="center"/>
      <protection locked="0"/>
    </xf>
    <xf numFmtId="0" fontId="2" fillId="9" borderId="2" xfId="0" applyFont="1" applyFill="1" applyBorder="1" applyAlignment="1" applyProtection="1">
      <alignment horizontal="center" vertical="center"/>
      <protection locked="0"/>
    </xf>
    <xf numFmtId="0" fontId="2" fillId="11" borderId="2" xfId="0" applyFont="1" applyFill="1" applyBorder="1" applyAlignment="1" applyProtection="1">
      <alignment vertical="center" wrapText="1"/>
      <protection locked="0"/>
    </xf>
    <xf numFmtId="165" fontId="2" fillId="11" borderId="2" xfId="0" applyNumberFormat="1" applyFont="1" applyFill="1" applyBorder="1" applyAlignment="1" applyProtection="1">
      <alignment vertical="center" wrapText="1"/>
      <protection locked="0"/>
    </xf>
    <xf numFmtId="16" fontId="2" fillId="11" borderId="2" xfId="0" applyNumberFormat="1" applyFont="1" applyFill="1" applyBorder="1" applyAlignment="1" applyProtection="1">
      <alignment vertical="center" wrapText="1"/>
      <protection locked="0"/>
    </xf>
    <xf numFmtId="167" fontId="2" fillId="0" borderId="2" xfId="0" applyNumberFormat="1" applyFont="1" applyBorder="1" applyAlignment="1">
      <alignment vertical="center" wrapText="1"/>
    </xf>
    <xf numFmtId="9" fontId="2" fillId="0" borderId="2" xfId="0" applyNumberFormat="1" applyFont="1" applyBorder="1" applyAlignment="1">
      <alignment vertical="center" wrapText="1"/>
    </xf>
    <xf numFmtId="49" fontId="2" fillId="0" borderId="2" xfId="7" applyNumberFormat="1" applyFont="1" applyBorder="1" applyAlignment="1">
      <alignment horizontal="left" wrapText="1"/>
    </xf>
    <xf numFmtId="0" fontId="2" fillId="0" borderId="2" xfId="0" applyFont="1" applyBorder="1" applyAlignment="1">
      <alignment horizontal="center" vertical="center"/>
    </xf>
    <xf numFmtId="0" fontId="2" fillId="9" borderId="18" xfId="0" applyFont="1" applyFill="1" applyBorder="1" applyAlignment="1">
      <alignment horizontal="left" vertical="center" wrapText="1"/>
    </xf>
    <xf numFmtId="0" fontId="2" fillId="0" borderId="2" xfId="0" applyFont="1" applyBorder="1" applyAlignment="1" applyProtection="1">
      <alignment horizontal="center" vertical="center" wrapText="1"/>
      <protection locked="0"/>
    </xf>
    <xf numFmtId="0" fontId="2" fillId="0" borderId="2" xfId="0" applyFont="1" applyBorder="1">
      <alignment vertical="center"/>
    </xf>
    <xf numFmtId="0" fontId="2" fillId="9" borderId="18" xfId="0" applyFont="1" applyFill="1" applyBorder="1" applyAlignment="1">
      <alignment horizontal="center" vertical="center" wrapText="1"/>
    </xf>
    <xf numFmtId="169" fontId="2" fillId="9" borderId="19" xfId="0" applyNumberFormat="1" applyFont="1" applyFill="1" applyBorder="1" applyAlignment="1">
      <alignment horizontal="center" vertical="center"/>
    </xf>
    <xf numFmtId="165" fontId="2" fillId="0" borderId="2" xfId="0" applyNumberFormat="1" applyFont="1" applyBorder="1" applyAlignment="1" applyProtection="1">
      <alignment vertical="center" wrapText="1"/>
      <protection locked="0"/>
    </xf>
    <xf numFmtId="0" fontId="2" fillId="9" borderId="2" xfId="0" applyFont="1" applyFill="1" applyBorder="1" applyAlignment="1" applyProtection="1">
      <alignment horizontal="left" vertical="center" wrapText="1"/>
      <protection locked="0"/>
    </xf>
    <xf numFmtId="0" fontId="2" fillId="0" borderId="2" xfId="0" applyFont="1" applyBorder="1" applyAlignment="1" applyProtection="1">
      <alignment vertical="center" wrapText="1"/>
      <protection locked="0"/>
    </xf>
    <xf numFmtId="0" fontId="2" fillId="0" borderId="6" xfId="0" applyFont="1" applyBorder="1">
      <alignment vertical="center"/>
    </xf>
    <xf numFmtId="0" fontId="2" fillId="0" borderId="2" xfId="0" applyFont="1" applyBorder="1" applyAlignment="1">
      <alignment vertical="center" wrapText="1"/>
    </xf>
    <xf numFmtId="165" fontId="2" fillId="11" borderId="2" xfId="0" applyNumberFormat="1" applyFont="1" applyFill="1" applyBorder="1" applyAlignment="1" applyProtection="1">
      <alignment horizontal="center" vertical="center"/>
      <protection locked="0"/>
    </xf>
    <xf numFmtId="165" fontId="2" fillId="11" borderId="2" xfId="2" applyNumberFormat="1" applyFont="1" applyFill="1" applyBorder="1" applyAlignment="1" applyProtection="1">
      <alignment horizontal="center" vertical="center"/>
      <protection locked="0"/>
    </xf>
    <xf numFmtId="165" fontId="2" fillId="11" borderId="2" xfId="1" applyNumberFormat="1" applyFont="1" applyFill="1" applyBorder="1" applyAlignment="1" applyProtection="1">
      <alignment horizontal="center" vertical="center"/>
      <protection locked="0"/>
    </xf>
    <xf numFmtId="0" fontId="2" fillId="0" borderId="2" xfId="0" applyFont="1" applyBorder="1" applyAlignment="1">
      <alignment horizontal="justify" vertical="center" wrapText="1"/>
    </xf>
    <xf numFmtId="165" fontId="2" fillId="11" borderId="2" xfId="3" applyNumberFormat="1" applyFont="1" applyFill="1" applyBorder="1" applyAlignment="1" applyProtection="1">
      <alignment horizontal="center" vertical="center"/>
      <protection locked="0"/>
    </xf>
    <xf numFmtId="165" fontId="2" fillId="11" borderId="2" xfId="4" applyNumberFormat="1" applyFont="1" applyFill="1" applyBorder="1" applyAlignment="1" applyProtection="1">
      <alignment horizontal="center" vertical="center"/>
      <protection locked="0"/>
    </xf>
    <xf numFmtId="0" fontId="19" fillId="2" borderId="7" xfId="1" applyFont="1" applyBorder="1" applyAlignment="1" applyProtection="1">
      <alignment horizontal="center" vertical="center" wrapText="1"/>
    </xf>
    <xf numFmtId="0" fontId="19" fillId="8" borderId="7" xfId="5" applyFont="1" applyBorder="1" applyAlignment="1" applyProtection="1">
      <alignment vertical="center" wrapText="1"/>
    </xf>
    <xf numFmtId="0" fontId="19" fillId="6" borderId="8" xfId="2" applyFont="1" applyBorder="1" applyAlignment="1" applyProtection="1">
      <alignment vertical="center"/>
    </xf>
    <xf numFmtId="0" fontId="2" fillId="0" borderId="5" xfId="2" applyFont="1" applyFill="1" applyBorder="1" applyAlignment="1" applyProtection="1">
      <alignment horizontal="center" vertical="center"/>
    </xf>
    <xf numFmtId="0" fontId="2" fillId="0" borderId="0" xfId="2" applyFont="1" applyFill="1" applyBorder="1" applyAlignment="1" applyProtection="1">
      <alignment horizontal="center" vertical="center"/>
      <protection locked="0"/>
    </xf>
    <xf numFmtId="167" fontId="2" fillId="0" borderId="0" xfId="0" applyNumberFormat="1" applyFont="1">
      <alignment vertical="center"/>
    </xf>
    <xf numFmtId="167" fontId="2" fillId="0" borderId="0" xfId="0" applyNumberFormat="1" applyFont="1" applyProtection="1">
      <alignment vertical="center"/>
      <protection locked="0"/>
    </xf>
    <xf numFmtId="0" fontId="19" fillId="0" borderId="12" xfId="0" applyFont="1" applyBorder="1" applyAlignment="1">
      <alignment horizontal="center" vertical="center"/>
    </xf>
    <xf numFmtId="166" fontId="2" fillId="0" borderId="2" xfId="0" applyNumberFormat="1" applyFont="1" applyBorder="1" applyAlignment="1">
      <alignment vertical="center" wrapText="1"/>
    </xf>
    <xf numFmtId="166" fontId="2" fillId="0" borderId="9" xfId="3" applyNumberFormat="1" applyFont="1" applyBorder="1" applyAlignment="1" applyProtection="1">
      <alignment vertical="center"/>
    </xf>
    <xf numFmtId="0" fontId="2" fillId="6" borderId="3" xfId="2" applyFont="1" applyBorder="1" applyAlignment="1" applyProtection="1">
      <alignment horizontal="center" vertical="center"/>
    </xf>
    <xf numFmtId="0" fontId="19" fillId="0" borderId="13" xfId="0" applyFont="1" applyBorder="1" applyAlignment="1">
      <alignment horizontal="center" vertical="center" wrapText="1"/>
    </xf>
    <xf numFmtId="166" fontId="2" fillId="0" borderId="10" xfId="0" applyNumberFormat="1" applyFont="1" applyBorder="1" applyAlignment="1">
      <alignment vertical="center" wrapText="1"/>
    </xf>
    <xf numFmtId="166" fontId="2" fillId="0" borderId="11" xfId="0" applyNumberFormat="1" applyFont="1" applyBorder="1">
      <alignment vertical="center"/>
    </xf>
    <xf numFmtId="164" fontId="2" fillId="0" borderId="4" xfId="0" applyNumberFormat="1" applyFont="1" applyBorder="1">
      <alignment vertical="center"/>
    </xf>
    <xf numFmtId="164" fontId="2" fillId="11" borderId="4" xfId="0" applyNumberFormat="1" applyFont="1" applyFill="1" applyBorder="1" applyProtection="1">
      <alignment vertical="center"/>
      <protection locked="0"/>
    </xf>
    <xf numFmtId="167" fontId="2" fillId="0" borderId="4" xfId="0" applyNumberFormat="1" applyFont="1" applyBorder="1">
      <alignment vertical="center"/>
    </xf>
    <xf numFmtId="0" fontId="19" fillId="0" borderId="0" xfId="0" applyFont="1" applyAlignment="1">
      <alignment horizontal="center" vertical="center" wrapText="1"/>
    </xf>
    <xf numFmtId="166" fontId="2" fillId="0" borderId="15" xfId="0" applyNumberFormat="1" applyFont="1" applyBorder="1" applyAlignment="1">
      <alignment vertical="center" wrapText="1"/>
    </xf>
    <xf numFmtId="166" fontId="2" fillId="0" borderId="16" xfId="0" applyNumberFormat="1" applyFont="1" applyBorder="1">
      <alignment vertical="center"/>
    </xf>
    <xf numFmtId="164" fontId="2" fillId="0" borderId="0" xfId="0" applyNumberFormat="1" applyFont="1">
      <alignment vertical="center"/>
    </xf>
    <xf numFmtId="164" fontId="2" fillId="0" borderId="17" xfId="0" applyNumberFormat="1" applyFont="1" applyBorder="1" applyProtection="1">
      <alignment vertical="center"/>
      <protection locked="0"/>
    </xf>
    <xf numFmtId="167" fontId="2" fillId="0" borderId="17" xfId="0" applyNumberFormat="1" applyFont="1" applyBorder="1">
      <alignment vertical="center"/>
    </xf>
    <xf numFmtId="0" fontId="2" fillId="8" borderId="1" xfId="5" applyFont="1" applyBorder="1" applyAlignment="1" applyProtection="1">
      <alignment horizontal="center" vertical="center"/>
      <protection locked="0"/>
    </xf>
    <xf numFmtId="0" fontId="2" fillId="2" borderId="1" xfId="1" applyFont="1" applyBorder="1" applyAlignment="1" applyProtection="1">
      <alignment horizontal="center" vertical="center"/>
    </xf>
    <xf numFmtId="0" fontId="2" fillId="2" borderId="1" xfId="1" applyFont="1" applyBorder="1" applyAlignment="1" applyProtection="1">
      <alignment horizontal="center" vertical="center" wrapText="1"/>
    </xf>
    <xf numFmtId="168" fontId="2" fillId="8" borderId="1" xfId="5" applyNumberFormat="1" applyFont="1" applyBorder="1" applyAlignment="1" applyProtection="1">
      <alignment horizontal="center" vertical="center"/>
      <protection locked="0"/>
    </xf>
    <xf numFmtId="165" fontId="2" fillId="5" borderId="2" xfId="0" applyNumberFormat="1" applyFont="1" applyFill="1" applyBorder="1" applyAlignment="1">
      <alignment horizontal="center" vertical="center"/>
    </xf>
    <xf numFmtId="14" fontId="2" fillId="0" borderId="22" xfId="0" applyNumberFormat="1" applyFont="1" applyBorder="1" applyAlignment="1">
      <alignment horizontal="center" vertical="center"/>
    </xf>
    <xf numFmtId="0" fontId="2" fillId="0" borderId="20" xfId="0" applyFont="1" applyBorder="1" applyAlignment="1" applyProtection="1">
      <alignment horizontal="center" vertical="center" wrapText="1"/>
      <protection locked="0"/>
    </xf>
    <xf numFmtId="0" fontId="2" fillId="9" borderId="20" xfId="0" applyFont="1" applyFill="1" applyBorder="1" applyAlignment="1" applyProtection="1">
      <alignment horizontal="left" vertical="center" wrapText="1"/>
      <protection locked="0"/>
    </xf>
    <xf numFmtId="0" fontId="2" fillId="0" borderId="20" xfId="0" applyFont="1" applyBorder="1" applyAlignment="1" applyProtection="1">
      <alignment vertical="center" wrapText="1"/>
      <protection locked="0"/>
    </xf>
    <xf numFmtId="0" fontId="2" fillId="11" borderId="20" xfId="0" applyFont="1" applyFill="1" applyBorder="1" applyAlignment="1" applyProtection="1">
      <alignment vertical="center" wrapText="1"/>
      <protection locked="0"/>
    </xf>
    <xf numFmtId="165" fontId="2" fillId="0" borderId="20" xfId="0" applyNumberFormat="1" applyFont="1" applyBorder="1" applyAlignment="1" applyProtection="1">
      <alignment vertical="center" wrapText="1"/>
      <protection locked="0"/>
    </xf>
    <xf numFmtId="165" fontId="2" fillId="11" borderId="20" xfId="0" applyNumberFormat="1" applyFont="1" applyFill="1" applyBorder="1" applyAlignment="1" applyProtection="1">
      <alignment vertical="center" wrapText="1"/>
      <protection locked="0"/>
    </xf>
    <xf numFmtId="165" fontId="2" fillId="0" borderId="20" xfId="0" applyNumberFormat="1" applyFont="1" applyBorder="1" applyAlignment="1">
      <alignment vertical="center" wrapText="1"/>
    </xf>
    <xf numFmtId="167" fontId="2" fillId="0" borderId="20" xfId="0" applyNumberFormat="1" applyFont="1" applyBorder="1" applyAlignment="1">
      <alignment vertical="center" wrapText="1"/>
    </xf>
    <xf numFmtId="9" fontId="2" fillId="0" borderId="20" xfId="0" applyNumberFormat="1" applyFont="1" applyBorder="1" applyAlignment="1">
      <alignment vertical="center" wrapText="1"/>
    </xf>
    <xf numFmtId="167" fontId="2" fillId="0" borderId="23" xfId="0" applyNumberFormat="1" applyFont="1" applyBorder="1" applyAlignment="1">
      <alignment vertical="center" wrapText="1"/>
    </xf>
    <xf numFmtId="9" fontId="2" fillId="0" borderId="23" xfId="0" applyNumberFormat="1" applyFont="1" applyBorder="1" applyAlignment="1">
      <alignment vertical="center" wrapText="1"/>
    </xf>
    <xf numFmtId="167" fontId="2" fillId="0" borderId="18" xfId="0" applyNumberFormat="1" applyFont="1" applyBorder="1" applyAlignment="1">
      <alignment vertical="center" wrapText="1"/>
    </xf>
    <xf numFmtId="9" fontId="2" fillId="0" borderId="18" xfId="0" applyNumberFormat="1" applyFont="1" applyBorder="1" applyAlignment="1">
      <alignment vertical="center" wrapText="1"/>
    </xf>
    <xf numFmtId="167" fontId="2" fillId="0" borderId="24" xfId="0" applyNumberFormat="1" applyFont="1" applyBorder="1" applyAlignment="1">
      <alignment vertical="center" wrapText="1"/>
    </xf>
    <xf numFmtId="167" fontId="2" fillId="0" borderId="25" xfId="0" applyNumberFormat="1" applyFont="1" applyBorder="1" applyAlignment="1">
      <alignment vertical="center" wrapText="1"/>
    </xf>
    <xf numFmtId="14" fontId="2" fillId="5" borderId="1" xfId="0" applyNumberFormat="1" applyFont="1" applyFill="1" applyBorder="1" applyAlignment="1">
      <alignment horizontal="center" vertical="center"/>
    </xf>
    <xf numFmtId="14" fontId="2" fillId="11" borderId="2" xfId="0" applyNumberFormat="1" applyFont="1" applyFill="1" applyBorder="1" applyAlignment="1" applyProtection="1">
      <alignment vertical="center" wrapText="1"/>
      <protection locked="0"/>
    </xf>
    <xf numFmtId="0" fontId="2" fillId="11" borderId="20" xfId="0" applyFont="1" applyFill="1" applyBorder="1" applyAlignment="1" applyProtection="1">
      <alignment horizontal="center" vertical="center" wrapText="1"/>
      <protection locked="0"/>
    </xf>
    <xf numFmtId="0" fontId="2" fillId="11" borderId="21" xfId="0" applyFont="1" applyFill="1" applyBorder="1" applyAlignment="1" applyProtection="1">
      <alignment horizontal="center" vertical="center" wrapText="1"/>
      <protection locked="0"/>
    </xf>
    <xf numFmtId="0" fontId="2" fillId="12" borderId="1" xfId="6" applyFont="1" applyBorder="1" applyAlignment="1">
      <alignment horizontal="center" vertical="center"/>
    </xf>
    <xf numFmtId="16" fontId="1" fillId="11" borderId="2" xfId="0" applyNumberFormat="1" applyFont="1" applyFill="1" applyBorder="1" applyAlignment="1" applyProtection="1">
      <alignment vertical="center" wrapText="1"/>
      <protection locked="0"/>
    </xf>
  </cellXfs>
  <cellStyles count="10">
    <cellStyle name="Accent4" xfId="6" builtinId="41"/>
    <cellStyle name="Accent6" xfId="4" builtinId="49"/>
    <cellStyle name="Bad" xfId="2" builtinId="27"/>
    <cellStyle name="Explanatory Text" xfId="3" builtinId="53"/>
    <cellStyle name="Good" xfId="1" builtinId="26"/>
    <cellStyle name="Neutral" xfId="5" builtinId="28"/>
    <cellStyle name="Normal" xfId="0" builtinId="0"/>
    <cellStyle name="Normal_Cost summary_1" xfId="7" xr:uid="{BF039E02-3638-4020-8F9F-E7D11EFBCFD3}"/>
    <cellStyle name="보통 2" xfId="9" xr:uid="{612867BB-4061-4E7F-BB73-BC635BA3CFD5}"/>
    <cellStyle name="좋음 2" xfId="8" xr:uid="{7185201D-C0FE-4ED9-A394-CF55F5E1A1BB}"/>
  </cellStyles>
  <dxfs count="24">
    <dxf>
      <fill>
        <gradientFill degree="90">
          <stop position="0">
            <color theme="0"/>
          </stop>
          <stop position="0.5">
            <color rgb="FF00B0F0"/>
          </stop>
          <stop position="1">
            <color theme="0"/>
          </stop>
        </gradientFill>
      </fill>
    </dxf>
    <dxf>
      <fill>
        <gradientFill degree="90">
          <stop position="0">
            <color theme="0"/>
          </stop>
          <stop position="0.5">
            <color rgb="FFFF0000"/>
          </stop>
          <stop position="1">
            <color theme="0"/>
          </stop>
        </gradientFill>
      </fill>
    </dxf>
    <dxf>
      <fill>
        <gradientFill degree="90">
          <stop position="0">
            <color theme="0"/>
          </stop>
          <stop position="0.5">
            <color rgb="FFFFFF00"/>
          </stop>
          <stop position="1">
            <color theme="0"/>
          </stop>
        </gradientFill>
      </fill>
    </dxf>
    <dxf>
      <fill>
        <gradientFill degree="90">
          <stop position="0">
            <color theme="0"/>
          </stop>
          <stop position="0.5">
            <color rgb="FF00B050"/>
          </stop>
          <stop position="1">
            <color theme="0"/>
          </stop>
        </gradient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3" tint="0.79998168889431442"/>
        </patternFill>
      </fill>
    </dxf>
    <dxf>
      <fill>
        <patternFill>
          <bgColor theme="2" tint="-9.9948118533890809E-2"/>
        </patternFill>
      </fill>
    </dxf>
    <dxf>
      <fill>
        <patternFill>
          <bgColor theme="0" tint="-4.9989318521683403E-2"/>
        </patternFill>
      </fill>
    </dxf>
    <dxf>
      <fill>
        <patternFill>
          <bgColor theme="8" tint="0.39994506668294322"/>
        </patternFill>
      </fill>
    </dxf>
    <dxf>
      <fill>
        <patternFill>
          <bgColor theme="9" tint="0.7999816888943144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3" tint="0.79998168889431442"/>
        </patternFill>
      </fill>
    </dxf>
    <dxf>
      <fill>
        <patternFill>
          <bgColor theme="2" tint="-9.9948118533890809E-2"/>
        </patternFill>
      </fill>
    </dxf>
    <dxf>
      <fill>
        <patternFill>
          <bgColor theme="0" tint="-4.9989318521683403E-2"/>
        </patternFill>
      </fill>
    </dxf>
    <dxf>
      <fill>
        <patternFill>
          <bgColor theme="8" tint="0.3999450666829432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A370"/>
  <sheetViews>
    <sheetView tabSelected="1" zoomScale="85" zoomScaleNormal="85" workbookViewId="0">
      <pane xSplit="4" ySplit="6" topLeftCell="F7" activePane="bottomRight" state="frozen"/>
      <selection pane="topRight" activeCell="C1" sqref="C1"/>
      <selection pane="bottomLeft" activeCell="A3" sqref="A3"/>
      <selection pane="bottomRight" activeCell="F21" sqref="F21"/>
    </sheetView>
  </sheetViews>
  <sheetFormatPr defaultColWidth="9" defaultRowHeight="15"/>
  <cols>
    <col min="1" max="1" width="2" style="1" customWidth="1"/>
    <col min="2" max="2" width="12.28515625" style="1" customWidth="1"/>
    <col min="3" max="3" width="11.7109375" style="1" customWidth="1"/>
    <col min="4" max="4" width="87.42578125" style="1" customWidth="1"/>
    <col min="5" max="5" width="20.5703125" style="1" bestFit="1" customWidth="1"/>
    <col min="6" max="6" width="71.140625" style="1" customWidth="1"/>
    <col min="7" max="7" width="45.5703125" style="1" customWidth="1"/>
    <col min="8" max="8" width="15.7109375" style="1" customWidth="1"/>
    <col min="9" max="10" width="14.28515625" style="1" customWidth="1"/>
    <col min="11" max="11" width="17.140625" style="1" bestFit="1" customWidth="1"/>
    <col min="12" max="12" width="16.42578125" style="1" bestFit="1" customWidth="1"/>
    <col min="13" max="15" width="10.5703125" style="1" customWidth="1"/>
    <col min="16" max="53" width="5.5703125" style="1" customWidth="1"/>
    <col min="54" max="16384" width="9" style="1"/>
  </cols>
  <sheetData>
    <row r="1" spans="2:53" ht="15.75" thickBot="1"/>
    <row r="2" spans="2:53" ht="30.75" thickBot="1">
      <c r="B2" s="12" t="s">
        <v>132</v>
      </c>
      <c r="C2" s="12"/>
      <c r="D2" s="12"/>
      <c r="E2" s="12"/>
      <c r="F2" s="12"/>
      <c r="G2" s="48"/>
      <c r="H2" s="56" t="s">
        <v>11</v>
      </c>
      <c r="I2" s="57" t="s">
        <v>10</v>
      </c>
      <c r="J2" s="58" t="s">
        <v>12</v>
      </c>
      <c r="K2" s="13"/>
      <c r="L2" s="59"/>
      <c r="M2" s="13" t="s">
        <v>321</v>
      </c>
      <c r="N2" s="60"/>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spans="2:53">
      <c r="B3" s="61">
        <f ca="1">N4</f>
        <v>4</v>
      </c>
      <c r="C3" s="62"/>
      <c r="D3" s="12"/>
      <c r="E3" s="12"/>
      <c r="F3" s="12"/>
      <c r="G3" s="63" t="s">
        <v>16</v>
      </c>
      <c r="H3" s="64">
        <f>SUMIF(C7:C325,G3,H7:H325)</f>
        <v>837483.32940000016</v>
      </c>
      <c r="I3" s="64">
        <f>SUMIF(C7:C143,G3,I7:I143)*0.72</f>
        <v>0</v>
      </c>
      <c r="J3" s="65">
        <f>H3-I3</f>
        <v>837483.32940000016</v>
      </c>
      <c r="K3" s="13"/>
      <c r="L3" s="66" t="s">
        <v>13</v>
      </c>
      <c r="M3" s="66" t="s">
        <v>25</v>
      </c>
      <c r="N3" s="66" t="s">
        <v>24</v>
      </c>
      <c r="O3" s="12"/>
      <c r="P3" s="14"/>
      <c r="Q3" s="13" t="s">
        <v>6</v>
      </c>
      <c r="R3" s="13"/>
      <c r="S3" s="13"/>
      <c r="T3" s="15"/>
      <c r="U3" s="13" t="s">
        <v>7</v>
      </c>
      <c r="V3" s="13"/>
      <c r="W3" s="13"/>
      <c r="X3" s="16"/>
      <c r="Y3" s="13" t="s">
        <v>13</v>
      </c>
      <c r="Z3" s="13"/>
      <c r="AA3" s="17"/>
      <c r="AB3" s="13" t="s">
        <v>23</v>
      </c>
      <c r="AC3" s="13"/>
      <c r="AD3" s="13"/>
      <c r="AE3" s="12"/>
      <c r="AF3" s="12"/>
      <c r="AG3" s="12"/>
      <c r="AH3" s="12"/>
      <c r="AI3" s="12"/>
      <c r="AJ3" s="12"/>
      <c r="AK3" s="12"/>
      <c r="AL3" s="12"/>
      <c r="AM3" s="12"/>
      <c r="AN3" s="12"/>
      <c r="AO3" s="12"/>
      <c r="AP3" s="12"/>
      <c r="AQ3" s="12"/>
      <c r="AR3" s="12"/>
      <c r="AS3" s="12"/>
      <c r="AT3" s="12"/>
      <c r="AU3" s="12"/>
      <c r="AV3" s="12"/>
      <c r="AW3" s="12"/>
      <c r="AX3" s="12"/>
      <c r="AY3" s="12"/>
      <c r="AZ3" s="12"/>
      <c r="BA3" s="12"/>
    </row>
    <row r="4" spans="2:53" ht="15.75" thickBot="1">
      <c r="B4" s="12"/>
      <c r="C4" s="12"/>
      <c r="D4" s="12"/>
      <c r="E4" s="12"/>
      <c r="F4" s="12"/>
      <c r="G4" s="67" t="s">
        <v>17</v>
      </c>
      <c r="H4" s="68">
        <f>SUMIF(C8:C144,G4,H8:H144)</f>
        <v>0</v>
      </c>
      <c r="I4" s="68">
        <f>SUMIF(C7:C143,G4,I7:I143)</f>
        <v>0</v>
      </c>
      <c r="J4" s="69">
        <f>H4-I4</f>
        <v>0</v>
      </c>
      <c r="K4" s="13"/>
      <c r="L4" s="70">
        <f ca="1">TODAY()</f>
        <v>46256</v>
      </c>
      <c r="M4" s="71">
        <v>46253</v>
      </c>
      <c r="N4" s="72">
        <f ca="1">DATEDIF(M4,L4,"d")+1</f>
        <v>4</v>
      </c>
      <c r="O4" s="12"/>
      <c r="P4" s="13" t="s">
        <v>321</v>
      </c>
      <c r="Q4" s="13"/>
      <c r="R4" s="13"/>
      <c r="S4" s="13"/>
      <c r="T4" s="13"/>
      <c r="U4" s="13"/>
      <c r="V4" s="13"/>
      <c r="W4" s="13"/>
      <c r="X4" s="13"/>
      <c r="Y4" s="13"/>
      <c r="Z4" s="13"/>
      <c r="AA4" s="13"/>
      <c r="AB4" s="13"/>
      <c r="AC4" s="13"/>
      <c r="AD4" s="13"/>
      <c r="AE4" s="12"/>
      <c r="AF4" s="12"/>
      <c r="AG4" s="12"/>
      <c r="AH4" s="12"/>
      <c r="AI4" s="12"/>
      <c r="AJ4" s="12"/>
      <c r="AK4" s="12"/>
      <c r="AL4" s="12"/>
      <c r="AM4" s="12"/>
      <c r="AN4" s="12"/>
      <c r="AO4" s="12"/>
      <c r="AP4" s="12"/>
      <c r="AQ4" s="12"/>
      <c r="AR4" s="12"/>
      <c r="AS4" s="12"/>
      <c r="AT4" s="12"/>
      <c r="AU4" s="12"/>
      <c r="AV4" s="12"/>
      <c r="AW4" s="12"/>
      <c r="AX4" s="12"/>
      <c r="AY4" s="12"/>
      <c r="AZ4" s="12"/>
      <c r="BA4" s="12"/>
    </row>
    <row r="5" spans="2:53">
      <c r="B5" s="12"/>
      <c r="C5" s="12"/>
      <c r="D5" s="12"/>
      <c r="E5" s="12"/>
      <c r="F5" s="12"/>
      <c r="G5" s="73"/>
      <c r="H5" s="74"/>
      <c r="I5" s="74"/>
      <c r="J5" s="75"/>
      <c r="K5" s="13"/>
      <c r="L5" s="76"/>
      <c r="M5" s="77"/>
      <c r="N5" s="78"/>
      <c r="O5" s="79" t="s">
        <v>30</v>
      </c>
      <c r="P5" s="104" t="s">
        <v>35</v>
      </c>
      <c r="Q5" s="104"/>
      <c r="R5" s="104"/>
      <c r="S5" s="104"/>
      <c r="T5" s="104"/>
      <c r="U5" s="104"/>
      <c r="V5" s="104"/>
      <c r="W5" s="104"/>
      <c r="X5" s="104"/>
      <c r="Y5" s="104"/>
      <c r="Z5" s="104"/>
      <c r="AA5" s="104"/>
      <c r="AB5" s="104"/>
      <c r="AC5" s="104"/>
      <c r="AD5" s="104"/>
      <c r="AE5" s="104"/>
      <c r="AF5" s="104"/>
      <c r="AG5" s="104"/>
      <c r="AH5" s="104"/>
      <c r="AI5" s="104"/>
      <c r="AJ5" s="104"/>
      <c r="AK5" s="104"/>
      <c r="AL5" s="104"/>
      <c r="AM5" s="104" t="s">
        <v>36</v>
      </c>
      <c r="AN5" s="104"/>
      <c r="AO5" s="104"/>
      <c r="AP5" s="104"/>
      <c r="AQ5" s="104"/>
      <c r="AR5" s="104"/>
      <c r="AS5" s="104"/>
      <c r="AT5" s="104"/>
      <c r="AU5" s="104"/>
      <c r="AV5" s="104"/>
      <c r="AW5" s="104"/>
      <c r="AX5" s="104"/>
      <c r="AY5" s="104"/>
      <c r="AZ5" s="104"/>
      <c r="BA5" s="104"/>
    </row>
    <row r="6" spans="2:53" s="2" customFormat="1" ht="30">
      <c r="B6" s="80" t="s">
        <v>0</v>
      </c>
      <c r="C6" s="80" t="s">
        <v>8</v>
      </c>
      <c r="D6" s="80" t="s">
        <v>1</v>
      </c>
      <c r="E6" s="81" t="s">
        <v>2</v>
      </c>
      <c r="F6" s="81" t="s">
        <v>20</v>
      </c>
      <c r="G6" s="81" t="s">
        <v>4</v>
      </c>
      <c r="H6" s="81" t="s">
        <v>19</v>
      </c>
      <c r="I6" s="81" t="s">
        <v>18</v>
      </c>
      <c r="J6" s="81" t="s">
        <v>5</v>
      </c>
      <c r="K6" s="81" t="s">
        <v>14</v>
      </c>
      <c r="L6" s="81" t="s">
        <v>15</v>
      </c>
      <c r="M6" s="81" t="s">
        <v>21</v>
      </c>
      <c r="N6" s="81" t="s">
        <v>22</v>
      </c>
      <c r="O6" s="81" t="s">
        <v>3</v>
      </c>
      <c r="P6" s="82">
        <v>45878</v>
      </c>
      <c r="Q6" s="82">
        <v>45879</v>
      </c>
      <c r="R6" s="82">
        <v>45880</v>
      </c>
      <c r="S6" s="82">
        <v>45881</v>
      </c>
      <c r="T6" s="82">
        <v>45882</v>
      </c>
      <c r="U6" s="82">
        <v>45883</v>
      </c>
      <c r="V6" s="82">
        <v>45884</v>
      </c>
      <c r="W6" s="82">
        <v>45885</v>
      </c>
      <c r="X6" s="82">
        <v>45886</v>
      </c>
      <c r="Y6" s="82">
        <v>45887</v>
      </c>
      <c r="Z6" s="82">
        <v>45888</v>
      </c>
      <c r="AA6" s="82">
        <v>45889</v>
      </c>
      <c r="AB6" s="82">
        <v>45890</v>
      </c>
      <c r="AC6" s="82">
        <v>45891</v>
      </c>
      <c r="AD6" s="82">
        <v>45892</v>
      </c>
      <c r="AE6" s="82">
        <v>45893</v>
      </c>
      <c r="AF6" s="82">
        <v>45894</v>
      </c>
      <c r="AG6" s="82">
        <v>45895</v>
      </c>
      <c r="AH6" s="82">
        <v>45896</v>
      </c>
      <c r="AI6" s="82">
        <v>45897</v>
      </c>
      <c r="AJ6" s="82">
        <v>45898</v>
      </c>
      <c r="AK6" s="82">
        <v>45899</v>
      </c>
      <c r="AL6" s="82">
        <v>45900</v>
      </c>
      <c r="AM6" s="82">
        <v>45901</v>
      </c>
      <c r="AN6" s="82">
        <v>45902</v>
      </c>
      <c r="AO6" s="82">
        <v>45903</v>
      </c>
      <c r="AP6" s="82">
        <v>45904</v>
      </c>
      <c r="AQ6" s="82">
        <v>45905</v>
      </c>
      <c r="AR6" s="82">
        <v>45906</v>
      </c>
      <c r="AS6" s="82">
        <v>45907</v>
      </c>
      <c r="AT6" s="82">
        <v>45908</v>
      </c>
      <c r="AU6" s="82">
        <v>45909</v>
      </c>
      <c r="AV6" s="82">
        <v>45910</v>
      </c>
      <c r="AW6" s="82">
        <v>45911</v>
      </c>
      <c r="AX6" s="82">
        <v>45912</v>
      </c>
      <c r="AY6" s="82">
        <v>45913</v>
      </c>
      <c r="AZ6" s="82">
        <v>45914</v>
      </c>
      <c r="BA6" s="82">
        <v>45915</v>
      </c>
    </row>
    <row r="7" spans="2:53">
      <c r="B7" s="18">
        <v>1.1000000000000001</v>
      </c>
      <c r="C7" s="19" t="s">
        <v>9</v>
      </c>
      <c r="D7" s="20" t="s">
        <v>133</v>
      </c>
      <c r="E7" s="21"/>
      <c r="F7" s="22"/>
      <c r="G7" s="23"/>
      <c r="H7" s="24"/>
      <c r="I7" s="25"/>
      <c r="J7" s="26">
        <f t="shared" ref="J7:J21" si="0">H7-I7</f>
        <v>0</v>
      </c>
      <c r="K7" s="27"/>
      <c r="L7" s="27"/>
      <c r="M7" s="28">
        <f>DATEDIF(K7,L7,"d")</f>
        <v>0</v>
      </c>
      <c r="N7" s="28">
        <f ca="1">MIN(DATEDIF(K7, $L$4, "d"), M7)</f>
        <v>0</v>
      </c>
      <c r="O7" s="29">
        <f>IF(M7=0, 0, MIN(N7/M7, 1))</f>
        <v>0</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row>
    <row r="8" spans="2:53">
      <c r="B8" s="18" t="s">
        <v>204</v>
      </c>
      <c r="C8" s="31" t="s">
        <v>9</v>
      </c>
      <c r="D8" s="20" t="s">
        <v>134</v>
      </c>
      <c r="E8" s="32"/>
      <c r="F8" s="22"/>
      <c r="G8" s="33"/>
      <c r="H8" s="24">
        <v>1040</v>
      </c>
      <c r="I8" s="34"/>
      <c r="J8" s="26">
        <f t="shared" si="0"/>
        <v>1040</v>
      </c>
      <c r="K8" s="35">
        <v>46256</v>
      </c>
      <c r="L8" s="35">
        <v>46267</v>
      </c>
      <c r="M8" s="36">
        <f t="shared" ref="M8:M71" si="1">DATEDIF(K8,L8,"d")</f>
        <v>11</v>
      </c>
      <c r="N8" s="36">
        <f t="shared" ref="N8:N71" ca="1" si="2">MIN(DATEDIF(K8, $L$4, "d"), M8)</f>
        <v>0</v>
      </c>
      <c r="O8" s="37">
        <f t="shared" ref="O8:O71" ca="1" si="3">IF(M8=0, 0, MIN(N8/M8, 1))</f>
        <v>0</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row>
    <row r="9" spans="2:53">
      <c r="B9" s="39" t="s">
        <v>205</v>
      </c>
      <c r="C9" s="31" t="s">
        <v>9</v>
      </c>
      <c r="D9" s="49" t="s">
        <v>135</v>
      </c>
      <c r="E9" s="32"/>
      <c r="F9" s="22"/>
      <c r="G9" s="33"/>
      <c r="H9" s="24">
        <v>0</v>
      </c>
      <c r="I9" s="34"/>
      <c r="J9" s="26">
        <f t="shared" si="0"/>
        <v>0</v>
      </c>
      <c r="K9" s="35">
        <v>46253</v>
      </c>
      <c r="L9" s="35">
        <v>46254</v>
      </c>
      <c r="M9" s="36">
        <f t="shared" si="1"/>
        <v>1</v>
      </c>
      <c r="N9" s="36">
        <f t="shared" ca="1" si="2"/>
        <v>1</v>
      </c>
      <c r="O9" s="37">
        <f t="shared" ca="1" si="3"/>
        <v>1</v>
      </c>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row>
    <row r="10" spans="2:53">
      <c r="B10" s="39"/>
      <c r="C10" s="31" t="s">
        <v>9</v>
      </c>
      <c r="D10" s="20" t="s">
        <v>136</v>
      </c>
      <c r="E10" s="32"/>
      <c r="F10" s="22"/>
      <c r="G10" s="33"/>
      <c r="H10" s="24">
        <v>182</v>
      </c>
      <c r="I10" s="34"/>
      <c r="J10" s="26">
        <f t="shared" si="0"/>
        <v>182</v>
      </c>
      <c r="K10" s="35">
        <v>46256</v>
      </c>
      <c r="L10" s="35">
        <v>46277</v>
      </c>
      <c r="M10" s="36">
        <f t="shared" ref="M10" si="4">DATEDIF(K10,L10,"d")</f>
        <v>21</v>
      </c>
      <c r="N10" s="36">
        <f t="shared" ref="N10" ca="1" si="5">MIN(DATEDIF(K10, $L$4, "d"), M10)</f>
        <v>0</v>
      </c>
      <c r="O10" s="37">
        <f t="shared" ref="O10" ca="1" si="6">IF(M10=0, 0, MIN(N10/M10, 1))</f>
        <v>0</v>
      </c>
      <c r="P10" s="30"/>
      <c r="Q10" s="30"/>
      <c r="R10" s="30"/>
      <c r="S10" s="12"/>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row>
    <row r="11" spans="2:53">
      <c r="B11" s="39"/>
      <c r="C11" s="31" t="s">
        <v>9</v>
      </c>
      <c r="D11" s="20" t="s">
        <v>137</v>
      </c>
      <c r="E11" s="32"/>
      <c r="F11" s="22"/>
      <c r="G11" s="33"/>
      <c r="H11" s="24">
        <v>1560</v>
      </c>
      <c r="I11" s="34"/>
      <c r="J11" s="26">
        <f t="shared" si="0"/>
        <v>1560</v>
      </c>
      <c r="K11" s="105">
        <v>46254</v>
      </c>
      <c r="L11" s="35">
        <v>46277</v>
      </c>
      <c r="M11" s="36">
        <f t="shared" si="1"/>
        <v>23</v>
      </c>
      <c r="N11" s="36">
        <f t="shared" ca="1" si="2"/>
        <v>2</v>
      </c>
      <c r="O11" s="37">
        <f t="shared" ca="1" si="3"/>
        <v>8.6956521739130432E-2</v>
      </c>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row>
    <row r="12" spans="2:53">
      <c r="B12" s="39" t="s">
        <v>206</v>
      </c>
      <c r="C12" s="31" t="s">
        <v>9</v>
      </c>
      <c r="D12" s="20" t="s">
        <v>138</v>
      </c>
      <c r="E12" s="32"/>
      <c r="F12" s="22"/>
      <c r="G12" s="33"/>
      <c r="H12" s="24">
        <v>520</v>
      </c>
      <c r="I12" s="34"/>
      <c r="J12" s="26">
        <f t="shared" si="0"/>
        <v>520</v>
      </c>
      <c r="K12" s="35">
        <v>46253</v>
      </c>
      <c r="L12" s="35">
        <v>46277</v>
      </c>
      <c r="M12" s="36">
        <f t="shared" si="1"/>
        <v>24</v>
      </c>
      <c r="N12" s="36">
        <f t="shared" ca="1" si="2"/>
        <v>3</v>
      </c>
      <c r="O12" s="37">
        <f t="shared" ca="1" si="3"/>
        <v>0.125</v>
      </c>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row>
    <row r="13" spans="2:53">
      <c r="B13" s="39" t="s">
        <v>207</v>
      </c>
      <c r="C13" s="31" t="s">
        <v>9</v>
      </c>
      <c r="D13" s="20" t="s">
        <v>139</v>
      </c>
      <c r="E13" s="32"/>
      <c r="F13" s="22"/>
      <c r="G13" s="33"/>
      <c r="H13" s="24">
        <v>0</v>
      </c>
      <c r="I13" s="34"/>
      <c r="J13" s="26">
        <f t="shared" si="0"/>
        <v>0</v>
      </c>
      <c r="K13" s="35"/>
      <c r="L13" s="35"/>
      <c r="M13" s="36">
        <f t="shared" si="1"/>
        <v>0</v>
      </c>
      <c r="N13" s="36">
        <f t="shared" ca="1" si="2"/>
        <v>0</v>
      </c>
      <c r="O13" s="37">
        <f t="shared" si="3"/>
        <v>0</v>
      </c>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2:53">
      <c r="B14" s="39" t="s">
        <v>208</v>
      </c>
      <c r="C14" s="31" t="s">
        <v>9</v>
      </c>
      <c r="D14" s="20" t="s">
        <v>140</v>
      </c>
      <c r="E14" s="32"/>
      <c r="F14" s="22"/>
      <c r="G14" s="33"/>
      <c r="H14" s="24">
        <v>364</v>
      </c>
      <c r="I14" s="34"/>
      <c r="J14" s="26">
        <f t="shared" si="0"/>
        <v>364</v>
      </c>
      <c r="K14" s="35">
        <v>46195</v>
      </c>
      <c r="L14" s="35">
        <v>46267</v>
      </c>
      <c r="M14" s="36">
        <f t="shared" si="1"/>
        <v>72</v>
      </c>
      <c r="N14" s="36">
        <f t="shared" ca="1" si="2"/>
        <v>61</v>
      </c>
      <c r="O14" s="37">
        <f t="shared" ca="1" si="3"/>
        <v>0.84722222222222221</v>
      </c>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row>
    <row r="15" spans="2:53">
      <c r="B15" s="39"/>
      <c r="C15" s="31" t="s">
        <v>9</v>
      </c>
      <c r="D15" s="20" t="s">
        <v>141</v>
      </c>
      <c r="E15" s="32"/>
      <c r="F15" s="22"/>
      <c r="G15" s="33"/>
      <c r="H15" s="24">
        <v>364</v>
      </c>
      <c r="I15" s="34"/>
      <c r="J15" s="26">
        <f t="shared" si="0"/>
        <v>364</v>
      </c>
      <c r="K15" s="35"/>
      <c r="L15" s="35"/>
      <c r="M15" s="36">
        <f t="shared" si="1"/>
        <v>0</v>
      </c>
      <c r="N15" s="36">
        <f t="shared" ca="1" si="2"/>
        <v>0</v>
      </c>
      <c r="O15" s="37">
        <f t="shared" si="3"/>
        <v>0</v>
      </c>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row>
    <row r="16" spans="2:53">
      <c r="B16" s="39" t="s">
        <v>209</v>
      </c>
      <c r="C16" s="31" t="s">
        <v>9</v>
      </c>
      <c r="D16" s="20" t="s">
        <v>142</v>
      </c>
      <c r="E16" s="32"/>
      <c r="F16" s="33"/>
      <c r="G16" s="33"/>
      <c r="H16" s="24">
        <v>0</v>
      </c>
      <c r="I16" s="34"/>
      <c r="J16" s="26">
        <f t="shared" si="0"/>
        <v>0</v>
      </c>
      <c r="K16" s="35"/>
      <c r="L16" s="35"/>
      <c r="M16" s="36">
        <f t="shared" si="1"/>
        <v>0</v>
      </c>
      <c r="N16" s="36">
        <f t="shared" ca="1" si="2"/>
        <v>0</v>
      </c>
      <c r="O16" s="37">
        <f t="shared" si="3"/>
        <v>0</v>
      </c>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row>
    <row r="17" spans="2:53">
      <c r="B17" s="39" t="s">
        <v>210</v>
      </c>
      <c r="C17" s="31" t="s">
        <v>9</v>
      </c>
      <c r="D17" s="20" t="s">
        <v>143</v>
      </c>
      <c r="E17" s="32"/>
      <c r="F17" s="22"/>
      <c r="G17" s="33"/>
      <c r="H17" s="24">
        <v>93.6</v>
      </c>
      <c r="I17" s="34"/>
      <c r="J17" s="26">
        <f t="shared" si="0"/>
        <v>93.6</v>
      </c>
      <c r="K17" s="35">
        <v>46253</v>
      </c>
      <c r="L17" s="35">
        <v>46277</v>
      </c>
      <c r="M17" s="36">
        <f t="shared" si="1"/>
        <v>24</v>
      </c>
      <c r="N17" s="36">
        <f t="shared" ca="1" si="2"/>
        <v>3</v>
      </c>
      <c r="O17" s="37">
        <f t="shared" ca="1" si="3"/>
        <v>0.125</v>
      </c>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row>
    <row r="18" spans="2:53">
      <c r="B18" s="39"/>
      <c r="C18" s="31" t="s">
        <v>9</v>
      </c>
      <c r="D18" s="38" t="s">
        <v>144</v>
      </c>
      <c r="E18" s="32"/>
      <c r="F18" s="22"/>
      <c r="G18" s="33"/>
      <c r="H18" s="24">
        <v>764.4</v>
      </c>
      <c r="I18" s="34"/>
      <c r="J18" s="26">
        <f t="shared" si="0"/>
        <v>764.4</v>
      </c>
      <c r="K18" s="35">
        <v>46253</v>
      </c>
      <c r="L18" s="35">
        <v>46277</v>
      </c>
      <c r="M18" s="36">
        <f t="shared" si="1"/>
        <v>24</v>
      </c>
      <c r="N18" s="36">
        <f t="shared" ca="1" si="2"/>
        <v>3</v>
      </c>
      <c r="O18" s="37">
        <f t="shared" ca="1" si="3"/>
        <v>0.125</v>
      </c>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row>
    <row r="19" spans="2:53">
      <c r="B19" s="39"/>
      <c r="C19" s="31" t="s">
        <v>9</v>
      </c>
      <c r="D19" s="20" t="s">
        <v>145</v>
      </c>
      <c r="E19" s="32"/>
      <c r="F19" s="22"/>
      <c r="G19" s="33"/>
      <c r="H19" s="24">
        <v>5460</v>
      </c>
      <c r="I19" s="34"/>
      <c r="J19" s="26">
        <f t="shared" si="0"/>
        <v>5460</v>
      </c>
      <c r="K19" s="35"/>
      <c r="L19" s="35"/>
      <c r="M19" s="36">
        <f t="shared" si="1"/>
        <v>0</v>
      </c>
      <c r="N19" s="36">
        <f t="shared" ca="1" si="2"/>
        <v>0</v>
      </c>
      <c r="O19" s="37">
        <f t="shared" si="3"/>
        <v>0</v>
      </c>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row>
    <row r="20" spans="2:53">
      <c r="B20" s="39" t="s">
        <v>211</v>
      </c>
      <c r="C20" s="31" t="s">
        <v>9</v>
      </c>
      <c r="D20" s="38" t="s">
        <v>146</v>
      </c>
      <c r="E20" s="32"/>
      <c r="F20" s="22"/>
      <c r="G20" s="33"/>
      <c r="H20" s="24">
        <v>3931.2</v>
      </c>
      <c r="I20" s="34"/>
      <c r="J20" s="26">
        <f t="shared" si="0"/>
        <v>3931.2</v>
      </c>
      <c r="K20" s="35">
        <v>46253</v>
      </c>
      <c r="L20" s="35">
        <v>46277</v>
      </c>
      <c r="M20" s="36">
        <f t="shared" si="1"/>
        <v>24</v>
      </c>
      <c r="N20" s="36">
        <f t="shared" ca="1" si="2"/>
        <v>3</v>
      </c>
      <c r="O20" s="37">
        <f t="shared" ca="1" si="3"/>
        <v>0.125</v>
      </c>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row>
    <row r="21" spans="2:53">
      <c r="B21" s="39"/>
      <c r="C21" s="31" t="s">
        <v>9</v>
      </c>
      <c r="D21" s="20" t="s">
        <v>147</v>
      </c>
      <c r="E21" s="32"/>
      <c r="F21" s="33"/>
      <c r="G21" s="33"/>
      <c r="H21" s="24">
        <v>0</v>
      </c>
      <c r="I21" s="34"/>
      <c r="J21" s="26">
        <f t="shared" si="0"/>
        <v>0</v>
      </c>
      <c r="K21" s="35"/>
      <c r="L21" s="35"/>
      <c r="M21" s="36">
        <f t="shared" si="1"/>
        <v>0</v>
      </c>
      <c r="N21" s="36">
        <f t="shared" ca="1" si="2"/>
        <v>0</v>
      </c>
      <c r="O21" s="37">
        <f t="shared" si="3"/>
        <v>0</v>
      </c>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row>
    <row r="22" spans="2:53">
      <c r="B22" s="18" t="s">
        <v>212</v>
      </c>
      <c r="C22" s="31" t="s">
        <v>9</v>
      </c>
      <c r="D22" s="20" t="s">
        <v>148</v>
      </c>
      <c r="E22" s="32"/>
      <c r="F22" s="22"/>
      <c r="G22" s="33"/>
      <c r="H22" s="24">
        <v>260</v>
      </c>
      <c r="I22" s="34"/>
      <c r="J22" s="26">
        <f t="shared" ref="J22:J85" si="7">H22-I22</f>
        <v>260</v>
      </c>
      <c r="K22" s="35"/>
      <c r="L22" s="35"/>
      <c r="M22" s="36">
        <f t="shared" si="1"/>
        <v>0</v>
      </c>
      <c r="N22" s="36">
        <f t="shared" ca="1" si="2"/>
        <v>0</v>
      </c>
      <c r="O22" s="37">
        <f t="shared" si="3"/>
        <v>0</v>
      </c>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row>
    <row r="23" spans="2:53">
      <c r="B23" s="18"/>
      <c r="C23" s="31" t="s">
        <v>9</v>
      </c>
      <c r="D23" s="20" t="s">
        <v>149</v>
      </c>
      <c r="E23" s="32"/>
      <c r="F23" s="33"/>
      <c r="G23" s="33"/>
      <c r="H23" s="24">
        <v>1709.9999999999998</v>
      </c>
      <c r="I23" s="34"/>
      <c r="J23" s="26">
        <f t="shared" si="7"/>
        <v>1709.9999999999998</v>
      </c>
      <c r="K23" s="35"/>
      <c r="L23" s="35"/>
      <c r="M23" s="36">
        <f t="shared" si="1"/>
        <v>0</v>
      </c>
      <c r="N23" s="36">
        <f t="shared" ca="1" si="2"/>
        <v>0</v>
      </c>
      <c r="O23" s="37">
        <f t="shared" si="3"/>
        <v>0</v>
      </c>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row>
    <row r="24" spans="2:53">
      <c r="B24" s="18" t="s">
        <v>213</v>
      </c>
      <c r="C24" s="31" t="s">
        <v>9</v>
      </c>
      <c r="D24" s="20" t="s">
        <v>150</v>
      </c>
      <c r="E24" s="32"/>
      <c r="F24" s="22"/>
      <c r="G24" s="33"/>
      <c r="H24" s="24">
        <v>31.2</v>
      </c>
      <c r="I24" s="34"/>
      <c r="J24" s="26">
        <f t="shared" si="7"/>
        <v>31.2</v>
      </c>
      <c r="K24" s="35"/>
      <c r="L24" s="35"/>
      <c r="M24" s="36">
        <f t="shared" si="1"/>
        <v>0</v>
      </c>
      <c r="N24" s="36">
        <f t="shared" ca="1" si="2"/>
        <v>0</v>
      </c>
      <c r="O24" s="37">
        <f t="shared" si="3"/>
        <v>0</v>
      </c>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row>
    <row r="25" spans="2:53">
      <c r="B25" s="18"/>
      <c r="C25" s="31" t="s">
        <v>9</v>
      </c>
      <c r="D25" s="38" t="s">
        <v>151</v>
      </c>
      <c r="E25" s="32"/>
      <c r="F25" s="22"/>
      <c r="G25" s="33"/>
      <c r="H25" s="24">
        <v>2496</v>
      </c>
      <c r="I25" s="50"/>
      <c r="J25" s="26">
        <f t="shared" si="7"/>
        <v>2496</v>
      </c>
      <c r="K25" s="35"/>
      <c r="L25" s="35"/>
      <c r="M25" s="36">
        <f t="shared" si="1"/>
        <v>0</v>
      </c>
      <c r="N25" s="36">
        <f t="shared" ca="1" si="2"/>
        <v>0</v>
      </c>
      <c r="O25" s="37">
        <f t="shared" si="3"/>
        <v>0</v>
      </c>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row>
    <row r="26" spans="2:53">
      <c r="B26" s="18" t="s">
        <v>214</v>
      </c>
      <c r="C26" s="31" t="s">
        <v>9</v>
      </c>
      <c r="D26" s="20" t="s">
        <v>152</v>
      </c>
      <c r="E26" s="32"/>
      <c r="F26" s="33"/>
      <c r="G26" s="33"/>
      <c r="H26" s="24">
        <v>78</v>
      </c>
      <c r="I26" s="50"/>
      <c r="J26" s="26">
        <f t="shared" si="7"/>
        <v>78</v>
      </c>
      <c r="K26" s="35">
        <v>46256</v>
      </c>
      <c r="L26" s="35">
        <v>46277</v>
      </c>
      <c r="M26" s="36">
        <f t="shared" si="1"/>
        <v>21</v>
      </c>
      <c r="N26" s="36">
        <f t="shared" ca="1" si="2"/>
        <v>0</v>
      </c>
      <c r="O26" s="37">
        <f t="shared" ca="1" si="3"/>
        <v>0</v>
      </c>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row>
    <row r="27" spans="2:53">
      <c r="B27" s="18"/>
      <c r="C27" s="31" t="s">
        <v>9</v>
      </c>
      <c r="D27" s="20" t="s">
        <v>153</v>
      </c>
      <c r="E27" s="32"/>
      <c r="F27" s="22"/>
      <c r="G27" s="33"/>
      <c r="H27" s="24">
        <v>0</v>
      </c>
      <c r="I27" s="50"/>
      <c r="J27" s="26">
        <f t="shared" si="7"/>
        <v>0</v>
      </c>
      <c r="K27" s="35"/>
      <c r="L27" s="35"/>
      <c r="M27" s="36">
        <f t="shared" si="1"/>
        <v>0</v>
      </c>
      <c r="N27" s="36">
        <f t="shared" ca="1" si="2"/>
        <v>0</v>
      </c>
      <c r="O27" s="37">
        <f t="shared" si="3"/>
        <v>0</v>
      </c>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row>
    <row r="28" spans="2:53">
      <c r="B28" s="18"/>
      <c r="C28" s="31" t="s">
        <v>9</v>
      </c>
      <c r="D28" s="20" t="s">
        <v>154</v>
      </c>
      <c r="E28" s="32"/>
      <c r="F28" s="22"/>
      <c r="G28" s="33"/>
      <c r="H28" s="24">
        <v>30000</v>
      </c>
      <c r="I28" s="50"/>
      <c r="J28" s="26">
        <f t="shared" si="7"/>
        <v>30000</v>
      </c>
      <c r="K28" s="35">
        <v>46256</v>
      </c>
      <c r="L28" s="35">
        <v>46267</v>
      </c>
      <c r="M28" s="36">
        <f t="shared" si="1"/>
        <v>11</v>
      </c>
      <c r="N28" s="36">
        <f t="shared" ca="1" si="2"/>
        <v>0</v>
      </c>
      <c r="O28" s="37">
        <f t="shared" ca="1" si="3"/>
        <v>0</v>
      </c>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row>
    <row r="29" spans="2:53">
      <c r="B29" s="18" t="s">
        <v>215</v>
      </c>
      <c r="C29" s="31" t="s">
        <v>9</v>
      </c>
      <c r="D29" s="20" t="s">
        <v>155</v>
      </c>
      <c r="E29" s="32"/>
      <c r="F29" s="33"/>
      <c r="G29" s="33"/>
      <c r="H29" s="24">
        <v>3380</v>
      </c>
      <c r="I29" s="50"/>
      <c r="J29" s="26">
        <f t="shared" si="7"/>
        <v>3380</v>
      </c>
      <c r="K29" s="35">
        <v>46256</v>
      </c>
      <c r="L29" s="35">
        <v>46267</v>
      </c>
      <c r="M29" s="36">
        <f t="shared" si="1"/>
        <v>11</v>
      </c>
      <c r="N29" s="36">
        <f t="shared" ca="1" si="2"/>
        <v>0</v>
      </c>
      <c r="O29" s="37">
        <f t="shared" ca="1" si="3"/>
        <v>0</v>
      </c>
      <c r="P29" s="30"/>
      <c r="Q29" s="30"/>
      <c r="R29" s="30"/>
      <c r="S29" s="30"/>
      <c r="T29" s="30"/>
      <c r="U29" s="30"/>
      <c r="V29" s="30"/>
      <c r="W29" s="30"/>
      <c r="X29" s="30"/>
      <c r="Y29" s="30"/>
      <c r="Z29" s="30"/>
      <c r="AA29" s="30"/>
      <c r="AB29" s="30"/>
      <c r="AC29" s="100"/>
      <c r="AD29" s="100"/>
      <c r="AE29" s="100"/>
      <c r="AF29" s="100"/>
      <c r="AG29" s="100"/>
      <c r="AH29" s="100"/>
      <c r="AI29" s="100"/>
      <c r="AJ29" s="100"/>
      <c r="AK29" s="100"/>
      <c r="AL29" s="100"/>
      <c r="AM29" s="100"/>
      <c r="AN29" s="100"/>
      <c r="AO29" s="30"/>
      <c r="AP29" s="30"/>
      <c r="AQ29" s="30"/>
      <c r="AR29" s="30"/>
      <c r="AS29" s="30"/>
      <c r="AT29" s="30"/>
      <c r="AU29" s="30"/>
      <c r="AV29" s="30"/>
      <c r="AW29" s="30"/>
      <c r="AX29" s="30"/>
      <c r="AY29" s="30"/>
      <c r="AZ29" s="30"/>
      <c r="BA29" s="30"/>
    </row>
    <row r="30" spans="2:53">
      <c r="B30" s="18"/>
      <c r="C30" s="31" t="s">
        <v>9</v>
      </c>
      <c r="D30" s="49" t="s">
        <v>156</v>
      </c>
      <c r="E30" s="32"/>
      <c r="F30" s="22"/>
      <c r="G30" s="33"/>
      <c r="H30" s="24">
        <v>13650</v>
      </c>
      <c r="I30" s="50"/>
      <c r="J30" s="26">
        <f t="shared" si="7"/>
        <v>13650</v>
      </c>
      <c r="K30" s="35">
        <v>46256</v>
      </c>
      <c r="L30" s="35">
        <v>46267</v>
      </c>
      <c r="M30" s="36">
        <f t="shared" si="1"/>
        <v>11</v>
      </c>
      <c r="N30" s="36">
        <f t="shared" ca="1" si="2"/>
        <v>0</v>
      </c>
      <c r="O30" s="37">
        <f t="shared" ca="1" si="3"/>
        <v>0</v>
      </c>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row>
    <row r="31" spans="2:53">
      <c r="B31" s="18" t="s">
        <v>216</v>
      </c>
      <c r="C31" s="31" t="s">
        <v>9</v>
      </c>
      <c r="D31" s="49" t="s">
        <v>157</v>
      </c>
      <c r="E31" s="31"/>
      <c r="F31" s="33"/>
      <c r="G31" s="33"/>
      <c r="H31" s="24">
        <v>3640</v>
      </c>
      <c r="I31" s="51"/>
      <c r="J31" s="26">
        <f t="shared" si="7"/>
        <v>3640</v>
      </c>
      <c r="K31" s="35"/>
      <c r="L31" s="35"/>
      <c r="M31" s="36">
        <f t="shared" si="1"/>
        <v>0</v>
      </c>
      <c r="N31" s="36">
        <f t="shared" ca="1" si="2"/>
        <v>0</v>
      </c>
      <c r="O31" s="37">
        <f t="shared" si="3"/>
        <v>0</v>
      </c>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row>
    <row r="32" spans="2:53">
      <c r="B32" s="18" t="s">
        <v>217</v>
      </c>
      <c r="C32" s="31" t="s">
        <v>9</v>
      </c>
      <c r="D32" s="49" t="s">
        <v>158</v>
      </c>
      <c r="E32" s="31"/>
      <c r="F32" s="33"/>
      <c r="G32" s="33"/>
      <c r="H32" s="24">
        <v>93.6</v>
      </c>
      <c r="I32" s="52"/>
      <c r="J32" s="26">
        <f t="shared" si="7"/>
        <v>93.6</v>
      </c>
      <c r="K32" s="35">
        <v>46256</v>
      </c>
      <c r="L32" s="35">
        <v>46267</v>
      </c>
      <c r="M32" s="36">
        <f t="shared" si="1"/>
        <v>11</v>
      </c>
      <c r="N32" s="36">
        <f t="shared" ca="1" si="2"/>
        <v>0</v>
      </c>
      <c r="O32" s="37">
        <f t="shared" ca="1" si="3"/>
        <v>0</v>
      </c>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row>
    <row r="33" spans="2:53">
      <c r="B33" s="18"/>
      <c r="C33" s="31" t="s">
        <v>9</v>
      </c>
      <c r="D33" s="49" t="s">
        <v>159</v>
      </c>
      <c r="E33" s="31"/>
      <c r="F33" s="22"/>
      <c r="G33" s="33"/>
      <c r="H33" s="24">
        <v>546</v>
      </c>
      <c r="I33" s="50"/>
      <c r="J33" s="26">
        <f t="shared" si="7"/>
        <v>546</v>
      </c>
      <c r="K33" s="35">
        <v>46256</v>
      </c>
      <c r="L33" s="35">
        <v>46267</v>
      </c>
      <c r="M33" s="36">
        <f t="shared" si="1"/>
        <v>11</v>
      </c>
      <c r="N33" s="36">
        <f t="shared" ca="1" si="2"/>
        <v>0</v>
      </c>
      <c r="O33" s="37">
        <f t="shared" ca="1" si="3"/>
        <v>0</v>
      </c>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row>
    <row r="34" spans="2:53">
      <c r="B34" s="18" t="s">
        <v>218</v>
      </c>
      <c r="C34" s="31" t="s">
        <v>9</v>
      </c>
      <c r="D34" s="49" t="s">
        <v>160</v>
      </c>
      <c r="E34" s="31"/>
      <c r="F34" s="22"/>
      <c r="G34" s="33"/>
      <c r="H34" s="24">
        <v>0</v>
      </c>
      <c r="I34" s="50"/>
      <c r="J34" s="26">
        <f t="shared" si="7"/>
        <v>0</v>
      </c>
      <c r="K34" s="35"/>
      <c r="L34" s="35"/>
      <c r="M34" s="36">
        <f t="shared" si="1"/>
        <v>0</v>
      </c>
      <c r="N34" s="36">
        <f t="shared" ca="1" si="2"/>
        <v>0</v>
      </c>
      <c r="O34" s="37">
        <f t="shared" si="3"/>
        <v>0</v>
      </c>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row>
    <row r="35" spans="2:53">
      <c r="B35" s="18" t="s">
        <v>219</v>
      </c>
      <c r="C35" s="31" t="s">
        <v>9</v>
      </c>
      <c r="D35" s="49" t="s">
        <v>161</v>
      </c>
      <c r="E35" s="31"/>
      <c r="F35" s="22"/>
      <c r="G35" s="33"/>
      <c r="H35" s="24">
        <v>1300</v>
      </c>
      <c r="I35" s="50"/>
      <c r="J35" s="26">
        <f t="shared" si="7"/>
        <v>1300</v>
      </c>
      <c r="K35" s="35"/>
      <c r="L35" s="35"/>
      <c r="M35" s="36">
        <f t="shared" si="1"/>
        <v>0</v>
      </c>
      <c r="N35" s="36">
        <f t="shared" ca="1" si="2"/>
        <v>0</v>
      </c>
      <c r="O35" s="37">
        <f t="shared" si="3"/>
        <v>0</v>
      </c>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row>
    <row r="36" spans="2:53">
      <c r="B36" s="18"/>
      <c r="C36" s="31" t="s">
        <v>9</v>
      </c>
      <c r="D36" s="49" t="s">
        <v>162</v>
      </c>
      <c r="E36" s="31"/>
      <c r="F36" s="22"/>
      <c r="G36" s="33"/>
      <c r="H36" s="24">
        <v>2600</v>
      </c>
      <c r="I36" s="50"/>
      <c r="J36" s="26">
        <f t="shared" si="7"/>
        <v>2600</v>
      </c>
      <c r="K36" s="35"/>
      <c r="L36" s="35"/>
      <c r="M36" s="36">
        <f t="shared" si="1"/>
        <v>0</v>
      </c>
      <c r="N36" s="36">
        <f t="shared" ca="1" si="2"/>
        <v>0</v>
      </c>
      <c r="O36" s="37">
        <f t="shared" si="3"/>
        <v>0</v>
      </c>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row>
    <row r="37" spans="2:53">
      <c r="B37" s="18"/>
      <c r="C37" s="31" t="s">
        <v>9</v>
      </c>
      <c r="D37" s="53" t="s">
        <v>163</v>
      </c>
      <c r="E37" s="31"/>
      <c r="F37" s="22"/>
      <c r="G37" s="33"/>
      <c r="H37" s="24">
        <v>832</v>
      </c>
      <c r="I37" s="51"/>
      <c r="J37" s="26">
        <f t="shared" si="7"/>
        <v>832</v>
      </c>
      <c r="K37" s="35"/>
      <c r="L37" s="35"/>
      <c r="M37" s="36">
        <f t="shared" si="1"/>
        <v>0</v>
      </c>
      <c r="N37" s="36">
        <f t="shared" ca="1" si="2"/>
        <v>0</v>
      </c>
      <c r="O37" s="37">
        <f t="shared" si="3"/>
        <v>0</v>
      </c>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row>
    <row r="38" spans="2:53">
      <c r="B38" s="18"/>
      <c r="C38" s="31" t="s">
        <v>9</v>
      </c>
      <c r="D38" s="53" t="s">
        <v>164</v>
      </c>
      <c r="E38" s="31"/>
      <c r="F38" s="22"/>
      <c r="G38" s="33"/>
      <c r="H38" s="24">
        <v>1146.6000000000001</v>
      </c>
      <c r="I38" s="51"/>
      <c r="J38" s="26">
        <f t="shared" si="7"/>
        <v>1146.6000000000001</v>
      </c>
      <c r="K38" s="35"/>
      <c r="L38" s="35"/>
      <c r="M38" s="36">
        <f t="shared" si="1"/>
        <v>0</v>
      </c>
      <c r="N38" s="36">
        <f t="shared" ca="1" si="2"/>
        <v>0</v>
      </c>
      <c r="O38" s="37">
        <f t="shared" si="3"/>
        <v>0</v>
      </c>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row>
    <row r="39" spans="2:53">
      <c r="B39" s="18" t="s">
        <v>220</v>
      </c>
      <c r="C39" s="31" t="s">
        <v>9</v>
      </c>
      <c r="D39" s="49" t="s">
        <v>165</v>
      </c>
      <c r="E39" s="31"/>
      <c r="F39" s="22"/>
      <c r="G39" s="33"/>
      <c r="H39" s="24">
        <v>46.8</v>
      </c>
      <c r="I39" s="51"/>
      <c r="J39" s="26">
        <f t="shared" si="7"/>
        <v>46.8</v>
      </c>
      <c r="K39" s="35"/>
      <c r="L39" s="35"/>
      <c r="M39" s="36">
        <f t="shared" si="1"/>
        <v>0</v>
      </c>
      <c r="N39" s="36">
        <f t="shared" ca="1" si="2"/>
        <v>0</v>
      </c>
      <c r="O39" s="37">
        <f t="shared" si="3"/>
        <v>0</v>
      </c>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row>
    <row r="40" spans="2:53">
      <c r="B40" s="18"/>
      <c r="C40" s="31" t="s">
        <v>9</v>
      </c>
      <c r="D40" s="49" t="s">
        <v>166</v>
      </c>
      <c r="E40" s="31"/>
      <c r="F40" s="22"/>
      <c r="G40" s="33"/>
      <c r="H40" s="24">
        <v>0</v>
      </c>
      <c r="I40" s="50"/>
      <c r="J40" s="26">
        <f t="shared" si="7"/>
        <v>0</v>
      </c>
      <c r="K40" s="35"/>
      <c r="L40" s="35"/>
      <c r="M40" s="36">
        <f t="shared" si="1"/>
        <v>0</v>
      </c>
      <c r="N40" s="36">
        <f t="shared" ca="1" si="2"/>
        <v>0</v>
      </c>
      <c r="O40" s="37">
        <f t="shared" si="3"/>
        <v>0</v>
      </c>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row>
    <row r="41" spans="2:53">
      <c r="B41" s="18" t="s">
        <v>221</v>
      </c>
      <c r="C41" s="31" t="s">
        <v>9</v>
      </c>
      <c r="D41" s="49" t="s">
        <v>167</v>
      </c>
      <c r="E41" s="31"/>
      <c r="F41" s="22"/>
      <c r="G41" s="33"/>
      <c r="H41" s="24">
        <v>78</v>
      </c>
      <c r="I41" s="54"/>
      <c r="J41" s="26">
        <f t="shared" si="7"/>
        <v>78</v>
      </c>
      <c r="K41" s="35"/>
      <c r="L41" s="35"/>
      <c r="M41" s="36">
        <f t="shared" si="1"/>
        <v>0</v>
      </c>
      <c r="N41" s="36">
        <f t="shared" ca="1" si="2"/>
        <v>0</v>
      </c>
      <c r="O41" s="37">
        <f t="shared" si="3"/>
        <v>0</v>
      </c>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row>
    <row r="42" spans="2:53">
      <c r="B42" s="39"/>
      <c r="C42" s="31" t="s">
        <v>9</v>
      </c>
      <c r="D42" s="49" t="s">
        <v>168</v>
      </c>
      <c r="E42" s="31"/>
      <c r="F42" s="22"/>
      <c r="G42" s="33"/>
      <c r="H42" s="24">
        <v>1560</v>
      </c>
      <c r="I42" s="50"/>
      <c r="J42" s="26">
        <f t="shared" si="7"/>
        <v>1560</v>
      </c>
      <c r="K42" s="35"/>
      <c r="L42" s="35"/>
      <c r="M42" s="36">
        <f t="shared" si="1"/>
        <v>0</v>
      </c>
      <c r="N42" s="36">
        <f t="shared" ca="1" si="2"/>
        <v>0</v>
      </c>
      <c r="O42" s="37">
        <f t="shared" si="3"/>
        <v>0</v>
      </c>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row>
    <row r="43" spans="2:53">
      <c r="B43" s="39" t="s">
        <v>222</v>
      </c>
      <c r="C43" s="31" t="s">
        <v>9</v>
      </c>
      <c r="D43" s="49" t="s">
        <v>169</v>
      </c>
      <c r="E43" s="31"/>
      <c r="F43" s="22"/>
      <c r="G43" s="33"/>
      <c r="H43" s="24">
        <v>0</v>
      </c>
      <c r="I43" s="50"/>
      <c r="J43" s="26">
        <f t="shared" si="7"/>
        <v>0</v>
      </c>
      <c r="K43" s="35"/>
      <c r="L43" s="35"/>
      <c r="M43" s="36">
        <f t="shared" si="1"/>
        <v>0</v>
      </c>
      <c r="N43" s="36">
        <f t="shared" ca="1" si="2"/>
        <v>0</v>
      </c>
      <c r="O43" s="37">
        <f t="shared" si="3"/>
        <v>0</v>
      </c>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row>
    <row r="44" spans="2:53">
      <c r="B44" s="39" t="s">
        <v>223</v>
      </c>
      <c r="C44" s="31" t="s">
        <v>9</v>
      </c>
      <c r="D44" s="49" t="s">
        <v>170</v>
      </c>
      <c r="E44" s="31"/>
      <c r="F44" s="22"/>
      <c r="G44" s="33"/>
      <c r="H44" s="24">
        <v>0</v>
      </c>
      <c r="I44" s="50"/>
      <c r="J44" s="26">
        <f t="shared" si="7"/>
        <v>0</v>
      </c>
      <c r="K44" s="35"/>
      <c r="L44" s="35"/>
      <c r="M44" s="36">
        <f t="shared" si="1"/>
        <v>0</v>
      </c>
      <c r="N44" s="36">
        <f t="shared" ca="1" si="2"/>
        <v>0</v>
      </c>
      <c r="O44" s="37">
        <f t="shared" si="3"/>
        <v>0</v>
      </c>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row>
    <row r="45" spans="2:53">
      <c r="B45" s="39" t="s">
        <v>224</v>
      </c>
      <c r="C45" s="31" t="s">
        <v>9</v>
      </c>
      <c r="D45" s="49" t="s">
        <v>171</v>
      </c>
      <c r="E45" s="31"/>
      <c r="F45" s="22"/>
      <c r="G45" s="33"/>
      <c r="H45" s="24">
        <v>0</v>
      </c>
      <c r="I45" s="51"/>
      <c r="J45" s="26">
        <f t="shared" si="7"/>
        <v>0</v>
      </c>
      <c r="K45" s="33"/>
      <c r="L45" s="33"/>
      <c r="M45" s="36">
        <f t="shared" si="1"/>
        <v>0</v>
      </c>
      <c r="N45" s="36">
        <f t="shared" ca="1" si="2"/>
        <v>0</v>
      </c>
      <c r="O45" s="37">
        <f t="shared" si="3"/>
        <v>0</v>
      </c>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row>
    <row r="46" spans="2:53">
      <c r="B46" s="39" t="s">
        <v>225</v>
      </c>
      <c r="C46" s="31" t="s">
        <v>9</v>
      </c>
      <c r="D46" s="49" t="s">
        <v>172</v>
      </c>
      <c r="E46" s="31"/>
      <c r="F46" s="22"/>
      <c r="G46" s="33"/>
      <c r="H46" s="24">
        <v>0</v>
      </c>
      <c r="I46" s="50"/>
      <c r="J46" s="26">
        <f t="shared" si="7"/>
        <v>0</v>
      </c>
      <c r="K46" s="35"/>
      <c r="L46" s="35"/>
      <c r="M46" s="36">
        <f t="shared" si="1"/>
        <v>0</v>
      </c>
      <c r="N46" s="36">
        <f t="shared" ca="1" si="2"/>
        <v>0</v>
      </c>
      <c r="O46" s="37">
        <f t="shared" si="3"/>
        <v>0</v>
      </c>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row>
    <row r="47" spans="2:53">
      <c r="B47" s="39" t="s">
        <v>226</v>
      </c>
      <c r="C47" s="31" t="s">
        <v>9</v>
      </c>
      <c r="D47" s="49" t="s">
        <v>173</v>
      </c>
      <c r="E47" s="31"/>
      <c r="F47" s="22"/>
      <c r="G47" s="33"/>
      <c r="H47" s="24">
        <v>0</v>
      </c>
      <c r="I47" s="50"/>
      <c r="J47" s="26">
        <f t="shared" si="7"/>
        <v>0</v>
      </c>
      <c r="K47" s="35"/>
      <c r="L47" s="35"/>
      <c r="M47" s="36">
        <f t="shared" si="1"/>
        <v>0</v>
      </c>
      <c r="N47" s="36">
        <f t="shared" ca="1" si="2"/>
        <v>0</v>
      </c>
      <c r="O47" s="37">
        <f t="shared" si="3"/>
        <v>0</v>
      </c>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row>
    <row r="48" spans="2:53">
      <c r="B48" s="39" t="s">
        <v>227</v>
      </c>
      <c r="C48" s="31" t="s">
        <v>9</v>
      </c>
      <c r="D48" s="49" t="s">
        <v>174</v>
      </c>
      <c r="E48" s="31"/>
      <c r="F48" s="22"/>
      <c r="G48" s="33"/>
      <c r="H48" s="24">
        <v>0</v>
      </c>
      <c r="I48" s="50"/>
      <c r="J48" s="26">
        <f t="shared" si="7"/>
        <v>0</v>
      </c>
      <c r="K48" s="35"/>
      <c r="L48" s="35"/>
      <c r="M48" s="36">
        <f t="shared" si="1"/>
        <v>0</v>
      </c>
      <c r="N48" s="36">
        <f t="shared" ca="1" si="2"/>
        <v>0</v>
      </c>
      <c r="O48" s="37">
        <f t="shared" si="3"/>
        <v>0</v>
      </c>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row>
    <row r="49" spans="2:53">
      <c r="B49" s="39" t="s">
        <v>228</v>
      </c>
      <c r="C49" s="31" t="s">
        <v>9</v>
      </c>
      <c r="D49" s="49" t="s">
        <v>175</v>
      </c>
      <c r="E49" s="31"/>
      <c r="F49" s="22"/>
      <c r="G49" s="33"/>
      <c r="H49" s="24">
        <v>0</v>
      </c>
      <c r="I49" s="50"/>
      <c r="J49" s="26">
        <f t="shared" si="7"/>
        <v>0</v>
      </c>
      <c r="K49" s="35"/>
      <c r="L49" s="35"/>
      <c r="M49" s="36">
        <f t="shared" si="1"/>
        <v>0</v>
      </c>
      <c r="N49" s="36">
        <f t="shared" ca="1" si="2"/>
        <v>0</v>
      </c>
      <c r="O49" s="37">
        <f t="shared" si="3"/>
        <v>0</v>
      </c>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row>
    <row r="50" spans="2:53">
      <c r="B50" s="39" t="s">
        <v>229</v>
      </c>
      <c r="C50" s="31" t="s">
        <v>9</v>
      </c>
      <c r="D50" s="49" t="s">
        <v>176</v>
      </c>
      <c r="E50" s="31"/>
      <c r="F50" s="22"/>
      <c r="G50" s="33"/>
      <c r="H50" s="24">
        <v>1664</v>
      </c>
      <c r="I50" s="50"/>
      <c r="J50" s="26">
        <f t="shared" si="7"/>
        <v>1664</v>
      </c>
      <c r="K50" s="35"/>
      <c r="L50" s="35"/>
      <c r="M50" s="36">
        <f t="shared" si="1"/>
        <v>0</v>
      </c>
      <c r="N50" s="36">
        <f t="shared" ca="1" si="2"/>
        <v>0</v>
      </c>
      <c r="O50" s="37">
        <f t="shared" si="3"/>
        <v>0</v>
      </c>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row>
    <row r="51" spans="2:53">
      <c r="B51" s="39"/>
      <c r="C51" s="31" t="s">
        <v>9</v>
      </c>
      <c r="D51" s="49" t="s">
        <v>177</v>
      </c>
      <c r="E51" s="31"/>
      <c r="F51" s="33"/>
      <c r="G51" s="33"/>
      <c r="H51" s="24">
        <v>728</v>
      </c>
      <c r="I51" s="50"/>
      <c r="J51" s="26">
        <f t="shared" si="7"/>
        <v>728</v>
      </c>
      <c r="K51" s="33"/>
      <c r="L51" s="33"/>
      <c r="M51" s="36">
        <f t="shared" si="1"/>
        <v>0</v>
      </c>
      <c r="N51" s="36">
        <f t="shared" ca="1" si="2"/>
        <v>0</v>
      </c>
      <c r="O51" s="37">
        <f t="shared" si="3"/>
        <v>0</v>
      </c>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row>
    <row r="52" spans="2:53">
      <c r="B52" s="39"/>
      <c r="C52" s="31" t="s">
        <v>9</v>
      </c>
      <c r="D52" s="49" t="s">
        <v>178</v>
      </c>
      <c r="E52" s="31"/>
      <c r="F52" s="22"/>
      <c r="G52" s="33"/>
      <c r="H52" s="24">
        <v>0</v>
      </c>
      <c r="I52" s="50"/>
      <c r="J52" s="26">
        <f t="shared" si="7"/>
        <v>0</v>
      </c>
      <c r="K52" s="35"/>
      <c r="L52" s="35"/>
      <c r="M52" s="36">
        <f t="shared" si="1"/>
        <v>0</v>
      </c>
      <c r="N52" s="36">
        <f t="shared" ca="1" si="2"/>
        <v>0</v>
      </c>
      <c r="O52" s="37">
        <f t="shared" si="3"/>
        <v>0</v>
      </c>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row>
    <row r="53" spans="2:53">
      <c r="B53" s="39"/>
      <c r="C53" s="31" t="s">
        <v>9</v>
      </c>
      <c r="D53" s="49" t="s">
        <v>179</v>
      </c>
      <c r="E53" s="31"/>
      <c r="F53" s="22"/>
      <c r="G53" s="33"/>
      <c r="H53" s="24">
        <v>5200</v>
      </c>
      <c r="I53" s="50"/>
      <c r="J53" s="26">
        <f t="shared" si="7"/>
        <v>5200</v>
      </c>
      <c r="K53" s="35"/>
      <c r="L53" s="35"/>
      <c r="M53" s="36">
        <f t="shared" si="1"/>
        <v>0</v>
      </c>
      <c r="N53" s="36">
        <f t="shared" ca="1" si="2"/>
        <v>0</v>
      </c>
      <c r="O53" s="37">
        <f t="shared" si="3"/>
        <v>0</v>
      </c>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row>
    <row r="54" spans="2:53">
      <c r="B54" s="39" t="s">
        <v>230</v>
      </c>
      <c r="C54" s="31" t="s">
        <v>9</v>
      </c>
      <c r="D54" s="49" t="s">
        <v>180</v>
      </c>
      <c r="E54" s="31"/>
      <c r="F54" s="22"/>
      <c r="G54" s="33"/>
      <c r="H54" s="24">
        <v>0</v>
      </c>
      <c r="I54" s="50"/>
      <c r="J54" s="26">
        <f t="shared" si="7"/>
        <v>0</v>
      </c>
      <c r="K54" s="35"/>
      <c r="L54" s="35"/>
      <c r="M54" s="36">
        <f t="shared" si="1"/>
        <v>0</v>
      </c>
      <c r="N54" s="36">
        <f t="shared" ca="1" si="2"/>
        <v>0</v>
      </c>
      <c r="O54" s="37">
        <f t="shared" si="3"/>
        <v>0</v>
      </c>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row>
    <row r="55" spans="2:53">
      <c r="B55" s="39" t="s">
        <v>231</v>
      </c>
      <c r="C55" s="31" t="s">
        <v>9</v>
      </c>
      <c r="D55" s="49" t="s">
        <v>181</v>
      </c>
      <c r="E55" s="31"/>
      <c r="F55" s="33"/>
      <c r="G55" s="33"/>
      <c r="H55" s="24">
        <v>0</v>
      </c>
      <c r="I55" s="50"/>
      <c r="J55" s="26">
        <f t="shared" si="7"/>
        <v>0</v>
      </c>
      <c r="K55" s="33"/>
      <c r="L55" s="33"/>
      <c r="M55" s="36">
        <f t="shared" si="1"/>
        <v>0</v>
      </c>
      <c r="N55" s="36">
        <f t="shared" ca="1" si="2"/>
        <v>0</v>
      </c>
      <c r="O55" s="37">
        <f t="shared" si="3"/>
        <v>0</v>
      </c>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row>
    <row r="56" spans="2:53">
      <c r="B56" s="39" t="s">
        <v>232</v>
      </c>
      <c r="C56" s="31" t="s">
        <v>9</v>
      </c>
      <c r="D56" s="49" t="s">
        <v>182</v>
      </c>
      <c r="E56" s="31"/>
      <c r="F56" s="33"/>
      <c r="G56" s="33"/>
      <c r="H56" s="24">
        <v>5720</v>
      </c>
      <c r="I56" s="50"/>
      <c r="J56" s="26">
        <f t="shared" si="7"/>
        <v>5720</v>
      </c>
      <c r="K56" s="33"/>
      <c r="L56" s="33"/>
      <c r="M56" s="36">
        <f t="shared" si="1"/>
        <v>0</v>
      </c>
      <c r="N56" s="36">
        <f t="shared" ca="1" si="2"/>
        <v>0</v>
      </c>
      <c r="O56" s="37">
        <f t="shared" si="3"/>
        <v>0</v>
      </c>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row>
    <row r="57" spans="2:53">
      <c r="B57" s="39" t="s">
        <v>233</v>
      </c>
      <c r="C57" s="31" t="s">
        <v>9</v>
      </c>
      <c r="D57" s="49" t="s">
        <v>183</v>
      </c>
      <c r="E57" s="31"/>
      <c r="F57" s="22"/>
      <c r="G57" s="33"/>
      <c r="H57" s="24">
        <v>1689.9999999999998</v>
      </c>
      <c r="I57" s="50"/>
      <c r="J57" s="26">
        <f t="shared" si="7"/>
        <v>1689.9999999999998</v>
      </c>
      <c r="K57" s="35"/>
      <c r="L57" s="35"/>
      <c r="M57" s="36">
        <f t="shared" si="1"/>
        <v>0</v>
      </c>
      <c r="N57" s="36">
        <f t="shared" ca="1" si="2"/>
        <v>0</v>
      </c>
      <c r="O57" s="37">
        <f t="shared" si="3"/>
        <v>0</v>
      </c>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row>
    <row r="58" spans="2:53">
      <c r="B58" s="39"/>
      <c r="C58" s="31" t="s">
        <v>9</v>
      </c>
      <c r="D58" s="49" t="s">
        <v>184</v>
      </c>
      <c r="E58" s="31"/>
      <c r="F58" s="33"/>
      <c r="G58" s="33"/>
      <c r="H58" s="24">
        <v>27955.200000000001</v>
      </c>
      <c r="I58" s="50"/>
      <c r="J58" s="26">
        <f t="shared" si="7"/>
        <v>27955.200000000001</v>
      </c>
      <c r="K58" s="35"/>
      <c r="L58" s="35"/>
      <c r="M58" s="36">
        <f t="shared" si="1"/>
        <v>0</v>
      </c>
      <c r="N58" s="36">
        <f t="shared" ca="1" si="2"/>
        <v>0</v>
      </c>
      <c r="O58" s="37">
        <f t="shared" si="3"/>
        <v>0</v>
      </c>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row>
    <row r="59" spans="2:53">
      <c r="B59" s="39"/>
      <c r="C59" s="31" t="s">
        <v>9</v>
      </c>
      <c r="D59" s="49" t="s">
        <v>185</v>
      </c>
      <c r="E59" s="31"/>
      <c r="F59" s="102" t="s">
        <v>32</v>
      </c>
      <c r="G59" s="102" t="s">
        <v>31</v>
      </c>
      <c r="H59" s="83">
        <v>7280</v>
      </c>
      <c r="I59" s="50"/>
      <c r="J59" s="26">
        <f t="shared" si="7"/>
        <v>7280</v>
      </c>
      <c r="K59" s="35"/>
      <c r="L59" s="35"/>
      <c r="M59" s="36">
        <f t="shared" si="1"/>
        <v>0</v>
      </c>
      <c r="N59" s="36">
        <f t="shared" ca="1" si="2"/>
        <v>0</v>
      </c>
      <c r="O59" s="37">
        <f t="shared" si="3"/>
        <v>0</v>
      </c>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row>
    <row r="60" spans="2:53">
      <c r="B60" s="39" t="s">
        <v>234</v>
      </c>
      <c r="C60" s="31" t="s">
        <v>9</v>
      </c>
      <c r="D60" s="49" t="s">
        <v>186</v>
      </c>
      <c r="E60" s="31"/>
      <c r="F60" s="103"/>
      <c r="G60" s="103"/>
      <c r="H60" s="83">
        <v>2600</v>
      </c>
      <c r="I60" s="50"/>
      <c r="J60" s="26">
        <f t="shared" si="7"/>
        <v>2600</v>
      </c>
      <c r="K60" s="35"/>
      <c r="L60" s="35"/>
      <c r="M60" s="36">
        <f t="shared" si="1"/>
        <v>0</v>
      </c>
      <c r="N60" s="36">
        <f t="shared" ca="1" si="2"/>
        <v>0</v>
      </c>
      <c r="O60" s="37">
        <f t="shared" si="3"/>
        <v>0</v>
      </c>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row>
    <row r="61" spans="2:53">
      <c r="B61" s="39" t="s">
        <v>235</v>
      </c>
      <c r="C61" s="31" t="s">
        <v>9</v>
      </c>
      <c r="D61" s="49" t="s">
        <v>187</v>
      </c>
      <c r="E61" s="31"/>
      <c r="F61" s="33"/>
      <c r="G61" s="33"/>
      <c r="H61" s="83">
        <v>0</v>
      </c>
      <c r="I61" s="50"/>
      <c r="J61" s="26">
        <f t="shared" si="7"/>
        <v>0</v>
      </c>
      <c r="K61" s="35"/>
      <c r="L61" s="35"/>
      <c r="M61" s="36">
        <f t="shared" si="1"/>
        <v>0</v>
      </c>
      <c r="N61" s="36">
        <f t="shared" ca="1" si="2"/>
        <v>0</v>
      </c>
      <c r="O61" s="37">
        <f t="shared" si="3"/>
        <v>0</v>
      </c>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row>
    <row r="62" spans="2:53">
      <c r="B62" s="39"/>
      <c r="C62" s="31" t="s">
        <v>9</v>
      </c>
      <c r="D62" s="49" t="s">
        <v>188</v>
      </c>
      <c r="E62" s="31"/>
      <c r="F62" s="33"/>
      <c r="G62" s="33"/>
      <c r="H62" s="24">
        <v>14429.999999999998</v>
      </c>
      <c r="I62" s="50"/>
      <c r="J62" s="26">
        <f t="shared" si="7"/>
        <v>14429.999999999998</v>
      </c>
      <c r="K62" s="35"/>
      <c r="L62" s="35"/>
      <c r="M62" s="36">
        <f t="shared" si="1"/>
        <v>0</v>
      </c>
      <c r="N62" s="36">
        <f t="shared" ca="1" si="2"/>
        <v>0</v>
      </c>
      <c r="O62" s="37">
        <f t="shared" si="3"/>
        <v>0</v>
      </c>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row>
    <row r="63" spans="2:53">
      <c r="B63" s="39"/>
      <c r="C63" s="31" t="s">
        <v>9</v>
      </c>
      <c r="D63" s="49" t="s">
        <v>189</v>
      </c>
      <c r="E63" s="31"/>
      <c r="F63" s="33"/>
      <c r="G63" s="33"/>
      <c r="H63" s="24">
        <v>1040</v>
      </c>
      <c r="I63" s="50"/>
      <c r="J63" s="26">
        <f t="shared" si="7"/>
        <v>1040</v>
      </c>
      <c r="K63" s="33"/>
      <c r="L63" s="33"/>
      <c r="M63" s="36">
        <f t="shared" si="1"/>
        <v>0</v>
      </c>
      <c r="N63" s="36">
        <f t="shared" ca="1" si="2"/>
        <v>0</v>
      </c>
      <c r="O63" s="37">
        <f t="shared" si="3"/>
        <v>0</v>
      </c>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row>
    <row r="64" spans="2:53">
      <c r="B64" s="39"/>
      <c r="C64" s="31" t="s">
        <v>9</v>
      </c>
      <c r="D64" s="49" t="s">
        <v>190</v>
      </c>
      <c r="E64" s="31"/>
      <c r="F64" s="33"/>
      <c r="G64" s="33"/>
      <c r="H64" s="24">
        <v>5460</v>
      </c>
      <c r="I64" s="50"/>
      <c r="J64" s="26">
        <f t="shared" si="7"/>
        <v>5460</v>
      </c>
      <c r="K64" s="35"/>
      <c r="L64" s="35"/>
      <c r="M64" s="36">
        <f t="shared" si="1"/>
        <v>0</v>
      </c>
      <c r="N64" s="36">
        <f t="shared" ca="1" si="2"/>
        <v>0</v>
      </c>
      <c r="O64" s="37">
        <f t="shared" si="3"/>
        <v>0</v>
      </c>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row>
    <row r="65" spans="2:53">
      <c r="B65" s="39"/>
      <c r="C65" s="31" t="s">
        <v>9</v>
      </c>
      <c r="D65" s="49" t="s">
        <v>191</v>
      </c>
      <c r="E65" s="31"/>
      <c r="F65" s="33"/>
      <c r="G65" s="33"/>
      <c r="H65" s="24">
        <v>1560</v>
      </c>
      <c r="I65" s="50"/>
      <c r="J65" s="26">
        <f t="shared" si="7"/>
        <v>1560</v>
      </c>
      <c r="K65" s="35"/>
      <c r="L65" s="35"/>
      <c r="M65" s="36">
        <f t="shared" si="1"/>
        <v>0</v>
      </c>
      <c r="N65" s="36">
        <f t="shared" ca="1" si="2"/>
        <v>0</v>
      </c>
      <c r="O65" s="37">
        <f t="shared" si="3"/>
        <v>0</v>
      </c>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row>
    <row r="66" spans="2:53">
      <c r="B66" s="39" t="s">
        <v>236</v>
      </c>
      <c r="C66" s="31" t="s">
        <v>9</v>
      </c>
      <c r="D66" s="49" t="s">
        <v>192</v>
      </c>
      <c r="E66" s="31"/>
      <c r="F66" s="33"/>
      <c r="G66" s="33"/>
      <c r="H66" s="24">
        <v>7917</v>
      </c>
      <c r="I66" s="50"/>
      <c r="J66" s="26">
        <f t="shared" si="7"/>
        <v>7917</v>
      </c>
      <c r="K66" s="35"/>
      <c r="L66" s="35"/>
      <c r="M66" s="36">
        <f t="shared" si="1"/>
        <v>0</v>
      </c>
      <c r="N66" s="36">
        <f t="shared" ca="1" si="2"/>
        <v>0</v>
      </c>
      <c r="O66" s="37">
        <f t="shared" si="3"/>
        <v>0</v>
      </c>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row>
    <row r="67" spans="2:53">
      <c r="B67" s="39"/>
      <c r="C67" s="31" t="s">
        <v>9</v>
      </c>
      <c r="D67" s="49" t="s">
        <v>193</v>
      </c>
      <c r="E67" s="31"/>
      <c r="F67" s="33"/>
      <c r="G67" s="33"/>
      <c r="H67" s="24">
        <v>0</v>
      </c>
      <c r="I67" s="50"/>
      <c r="J67" s="26">
        <f t="shared" si="7"/>
        <v>0</v>
      </c>
      <c r="K67" s="33"/>
      <c r="L67" s="33"/>
      <c r="M67" s="36">
        <f t="shared" si="1"/>
        <v>0</v>
      </c>
      <c r="N67" s="36">
        <f t="shared" ca="1" si="2"/>
        <v>0</v>
      </c>
      <c r="O67" s="37">
        <f t="shared" si="3"/>
        <v>0</v>
      </c>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row>
    <row r="68" spans="2:53">
      <c r="B68" s="39"/>
      <c r="C68" s="31" t="s">
        <v>9</v>
      </c>
      <c r="D68" s="49" t="s">
        <v>194</v>
      </c>
      <c r="E68" s="31"/>
      <c r="F68" s="33"/>
      <c r="G68" s="33"/>
      <c r="H68" s="24">
        <v>0</v>
      </c>
      <c r="I68" s="50"/>
      <c r="J68" s="26">
        <f t="shared" si="7"/>
        <v>0</v>
      </c>
      <c r="K68" s="33"/>
      <c r="L68" s="33"/>
      <c r="M68" s="36">
        <f t="shared" si="1"/>
        <v>0</v>
      </c>
      <c r="N68" s="36">
        <f t="shared" ca="1" si="2"/>
        <v>0</v>
      </c>
      <c r="O68" s="37">
        <f t="shared" si="3"/>
        <v>0</v>
      </c>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row>
    <row r="69" spans="2:53">
      <c r="B69" s="39"/>
      <c r="C69" s="31" t="s">
        <v>9</v>
      </c>
      <c r="D69" s="49" t="s">
        <v>195</v>
      </c>
      <c r="E69" s="31"/>
      <c r="F69" s="33"/>
      <c r="G69" s="33"/>
      <c r="H69" s="24">
        <v>0</v>
      </c>
      <c r="I69" s="50"/>
      <c r="J69" s="26">
        <f t="shared" si="7"/>
        <v>0</v>
      </c>
      <c r="K69" s="33"/>
      <c r="L69" s="33"/>
      <c r="M69" s="36">
        <f t="shared" si="1"/>
        <v>0</v>
      </c>
      <c r="N69" s="36">
        <f t="shared" ca="1" si="2"/>
        <v>0</v>
      </c>
      <c r="O69" s="37">
        <f t="shared" si="3"/>
        <v>0</v>
      </c>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row>
    <row r="70" spans="2:53">
      <c r="B70" s="39"/>
      <c r="C70" s="31" t="s">
        <v>9</v>
      </c>
      <c r="D70" s="49" t="s">
        <v>196</v>
      </c>
      <c r="E70" s="31"/>
      <c r="F70" s="33"/>
      <c r="G70" s="33"/>
      <c r="H70" s="24">
        <v>0</v>
      </c>
      <c r="I70" s="50"/>
      <c r="J70" s="26">
        <f t="shared" si="7"/>
        <v>0</v>
      </c>
      <c r="K70" s="33"/>
      <c r="L70" s="33"/>
      <c r="M70" s="36">
        <f t="shared" si="1"/>
        <v>0</v>
      </c>
      <c r="N70" s="36">
        <f t="shared" ca="1" si="2"/>
        <v>0</v>
      </c>
      <c r="O70" s="37">
        <f t="shared" si="3"/>
        <v>0</v>
      </c>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row>
    <row r="71" spans="2:53">
      <c r="B71" s="39"/>
      <c r="C71" s="31" t="s">
        <v>9</v>
      </c>
      <c r="D71" s="49" t="s">
        <v>197</v>
      </c>
      <c r="E71" s="31"/>
      <c r="F71" s="33"/>
      <c r="G71" s="33"/>
      <c r="H71" s="24">
        <v>0</v>
      </c>
      <c r="I71" s="50"/>
      <c r="J71" s="26">
        <f t="shared" si="7"/>
        <v>0</v>
      </c>
      <c r="K71" s="33"/>
      <c r="L71" s="33"/>
      <c r="M71" s="36">
        <f t="shared" si="1"/>
        <v>0</v>
      </c>
      <c r="N71" s="36">
        <f t="shared" ca="1" si="2"/>
        <v>0</v>
      </c>
      <c r="O71" s="37">
        <f t="shared" si="3"/>
        <v>0</v>
      </c>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row>
    <row r="72" spans="2:53">
      <c r="B72" s="39"/>
      <c r="C72" s="31" t="s">
        <v>9</v>
      </c>
      <c r="D72" s="49" t="s">
        <v>198</v>
      </c>
      <c r="E72" s="31"/>
      <c r="F72" s="33"/>
      <c r="G72" s="33"/>
      <c r="H72" s="24">
        <v>0</v>
      </c>
      <c r="I72" s="50"/>
      <c r="J72" s="26">
        <f t="shared" si="7"/>
        <v>0</v>
      </c>
      <c r="K72" s="33"/>
      <c r="L72" s="33"/>
      <c r="M72" s="36">
        <f t="shared" ref="M72:M124" si="8">DATEDIF(K72,L72,"d")</f>
        <v>0</v>
      </c>
      <c r="N72" s="36">
        <f t="shared" ref="N72:N124" ca="1" si="9">MIN(DATEDIF(K72, $L$4, "d"), M72)</f>
        <v>0</v>
      </c>
      <c r="O72" s="37">
        <f t="shared" ref="O72:O124" si="10">IF(M72=0, 0, MIN(N72/M72, 1))</f>
        <v>0</v>
      </c>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row>
    <row r="73" spans="2:53">
      <c r="B73" s="39" t="s">
        <v>237</v>
      </c>
      <c r="C73" s="31" t="s">
        <v>9</v>
      </c>
      <c r="D73" s="49" t="s">
        <v>199</v>
      </c>
      <c r="E73" s="31"/>
      <c r="F73" s="33"/>
      <c r="G73" s="33"/>
      <c r="H73" s="24">
        <v>0</v>
      </c>
      <c r="I73" s="50"/>
      <c r="J73" s="26">
        <f t="shared" si="7"/>
        <v>0</v>
      </c>
      <c r="K73" s="33"/>
      <c r="L73" s="33"/>
      <c r="M73" s="36">
        <f t="shared" si="8"/>
        <v>0</v>
      </c>
      <c r="N73" s="36">
        <f t="shared" ca="1" si="9"/>
        <v>0</v>
      </c>
      <c r="O73" s="37">
        <f t="shared" si="10"/>
        <v>0</v>
      </c>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row>
    <row r="74" spans="2:53">
      <c r="B74" s="39"/>
      <c r="C74" s="31" t="s">
        <v>9</v>
      </c>
      <c r="D74" s="40" t="s">
        <v>200</v>
      </c>
      <c r="E74" s="31"/>
      <c r="F74" s="33"/>
      <c r="G74" s="33"/>
      <c r="H74" s="24">
        <v>0</v>
      </c>
      <c r="I74" s="50"/>
      <c r="J74" s="26">
        <f t="shared" si="7"/>
        <v>0</v>
      </c>
      <c r="K74" s="33"/>
      <c r="L74" s="33"/>
      <c r="M74" s="36">
        <f t="shared" si="8"/>
        <v>0</v>
      </c>
      <c r="N74" s="36">
        <f t="shared" ca="1" si="9"/>
        <v>0</v>
      </c>
      <c r="O74" s="37">
        <f t="shared" si="10"/>
        <v>0</v>
      </c>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row>
    <row r="75" spans="2:53">
      <c r="B75" s="41"/>
      <c r="C75" s="31" t="s">
        <v>9</v>
      </c>
      <c r="D75" s="42" t="s">
        <v>201</v>
      </c>
      <c r="E75" s="31" t="s">
        <v>33</v>
      </c>
      <c r="F75" s="33"/>
      <c r="G75" s="33"/>
      <c r="H75" s="24">
        <v>0</v>
      </c>
      <c r="I75" s="55"/>
      <c r="J75" s="26">
        <f t="shared" si="7"/>
        <v>0</v>
      </c>
      <c r="K75" s="33"/>
      <c r="L75" s="33"/>
      <c r="M75" s="36">
        <f t="shared" si="8"/>
        <v>0</v>
      </c>
      <c r="N75" s="36">
        <f t="shared" ca="1" si="9"/>
        <v>0</v>
      </c>
      <c r="O75" s="37">
        <f t="shared" si="10"/>
        <v>0</v>
      </c>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row>
    <row r="76" spans="2:53">
      <c r="B76" s="41" t="s">
        <v>238</v>
      </c>
      <c r="C76" s="31" t="s">
        <v>9</v>
      </c>
      <c r="D76" s="20" t="s">
        <v>202</v>
      </c>
      <c r="E76" s="31" t="s">
        <v>33</v>
      </c>
      <c r="F76" s="33"/>
      <c r="G76" s="33"/>
      <c r="H76" s="24">
        <v>0</v>
      </c>
      <c r="I76" s="50"/>
      <c r="J76" s="26">
        <f t="shared" si="7"/>
        <v>0</v>
      </c>
      <c r="K76" s="33"/>
      <c r="L76" s="33"/>
      <c r="M76" s="36">
        <f t="shared" si="8"/>
        <v>0</v>
      </c>
      <c r="N76" s="36">
        <f t="shared" ca="1" si="9"/>
        <v>0</v>
      </c>
      <c r="O76" s="37">
        <f t="shared" si="10"/>
        <v>0</v>
      </c>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row>
    <row r="77" spans="2:53">
      <c r="B77" s="41"/>
      <c r="C77" s="31" t="s">
        <v>9</v>
      </c>
      <c r="D77" s="20" t="s">
        <v>203</v>
      </c>
      <c r="E77" s="31" t="s">
        <v>33</v>
      </c>
      <c r="F77" s="33"/>
      <c r="G77" s="33"/>
      <c r="H77" s="24">
        <v>0</v>
      </c>
      <c r="I77" s="50"/>
      <c r="J77" s="26">
        <f t="shared" si="7"/>
        <v>0</v>
      </c>
      <c r="K77" s="33"/>
      <c r="L77" s="33"/>
      <c r="M77" s="36">
        <f t="shared" si="8"/>
        <v>0</v>
      </c>
      <c r="N77" s="36">
        <f t="shared" ca="1" si="9"/>
        <v>0</v>
      </c>
      <c r="O77" s="37">
        <f t="shared" si="10"/>
        <v>0</v>
      </c>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row>
    <row r="78" spans="2:53">
      <c r="B78" s="41" t="s">
        <v>239</v>
      </c>
      <c r="C78" s="31" t="s">
        <v>9</v>
      </c>
      <c r="D78" s="20" t="s">
        <v>255</v>
      </c>
      <c r="E78" s="31" t="s">
        <v>33</v>
      </c>
      <c r="F78" s="33"/>
      <c r="G78" s="33"/>
      <c r="H78" s="24">
        <v>416</v>
      </c>
      <c r="I78" s="50"/>
      <c r="J78" s="26">
        <f t="shared" si="7"/>
        <v>416</v>
      </c>
      <c r="K78" s="33"/>
      <c r="L78" s="33"/>
      <c r="M78" s="36">
        <f t="shared" si="8"/>
        <v>0</v>
      </c>
      <c r="N78" s="36">
        <f t="shared" ca="1" si="9"/>
        <v>0</v>
      </c>
      <c r="O78" s="37">
        <f t="shared" si="10"/>
        <v>0</v>
      </c>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row>
    <row r="79" spans="2:53">
      <c r="B79" s="41" t="s">
        <v>240</v>
      </c>
      <c r="C79" s="31" t="s">
        <v>9</v>
      </c>
      <c r="D79" s="40" t="s">
        <v>256</v>
      </c>
      <c r="E79" s="31" t="s">
        <v>34</v>
      </c>
      <c r="F79" s="33"/>
      <c r="G79" s="33"/>
      <c r="H79" s="24">
        <v>0</v>
      </c>
      <c r="I79" s="50"/>
      <c r="J79" s="26">
        <f t="shared" si="7"/>
        <v>0</v>
      </c>
      <c r="K79" s="33"/>
      <c r="L79" s="33"/>
      <c r="M79" s="36">
        <f t="shared" si="8"/>
        <v>0</v>
      </c>
      <c r="N79" s="36">
        <f t="shared" ca="1" si="9"/>
        <v>0</v>
      </c>
      <c r="O79" s="37">
        <f t="shared" si="10"/>
        <v>0</v>
      </c>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row>
    <row r="80" spans="2:53">
      <c r="B80" s="41" t="s">
        <v>241</v>
      </c>
      <c r="C80" s="31" t="s">
        <v>9</v>
      </c>
      <c r="D80" s="40" t="s">
        <v>257</v>
      </c>
      <c r="E80" s="31"/>
      <c r="F80" s="33"/>
      <c r="G80" s="33"/>
      <c r="H80" s="24">
        <v>975</v>
      </c>
      <c r="I80" s="50"/>
      <c r="J80" s="26">
        <f t="shared" si="7"/>
        <v>975</v>
      </c>
      <c r="K80" s="33"/>
      <c r="L80" s="33"/>
      <c r="M80" s="36">
        <f t="shared" si="8"/>
        <v>0</v>
      </c>
      <c r="N80" s="36">
        <f t="shared" ca="1" si="9"/>
        <v>0</v>
      </c>
      <c r="O80" s="37">
        <f t="shared" si="10"/>
        <v>0</v>
      </c>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row>
    <row r="81" spans="2:53">
      <c r="B81" s="41"/>
      <c r="C81" s="31" t="s">
        <v>9</v>
      </c>
      <c r="D81" s="40" t="s">
        <v>258</v>
      </c>
      <c r="E81" s="31"/>
      <c r="F81" s="33"/>
      <c r="G81" s="33"/>
      <c r="H81" s="24">
        <v>4350</v>
      </c>
      <c r="I81" s="50"/>
      <c r="J81" s="26">
        <f t="shared" si="7"/>
        <v>4350</v>
      </c>
      <c r="K81" s="33"/>
      <c r="L81" s="33"/>
      <c r="M81" s="36">
        <f t="shared" si="8"/>
        <v>0</v>
      </c>
      <c r="N81" s="36">
        <f t="shared" ca="1" si="9"/>
        <v>0</v>
      </c>
      <c r="O81" s="37">
        <f t="shared" si="10"/>
        <v>0</v>
      </c>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row>
    <row r="82" spans="2:53">
      <c r="B82" s="41"/>
      <c r="C82" s="31" t="s">
        <v>9</v>
      </c>
      <c r="D82" s="40" t="s">
        <v>259</v>
      </c>
      <c r="E82" s="31"/>
      <c r="F82" s="33"/>
      <c r="G82" s="33"/>
      <c r="H82" s="24">
        <v>1875</v>
      </c>
      <c r="I82" s="50"/>
      <c r="J82" s="26">
        <f t="shared" si="7"/>
        <v>1875</v>
      </c>
      <c r="K82" s="33"/>
      <c r="L82" s="33"/>
      <c r="M82" s="36">
        <f t="shared" si="8"/>
        <v>0</v>
      </c>
      <c r="N82" s="36">
        <f t="shared" ca="1" si="9"/>
        <v>0</v>
      </c>
      <c r="O82" s="37">
        <f t="shared" si="10"/>
        <v>0</v>
      </c>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row>
    <row r="83" spans="2:53">
      <c r="B83" s="41"/>
      <c r="C83" s="31" t="s">
        <v>9</v>
      </c>
      <c r="D83" s="40" t="s">
        <v>260</v>
      </c>
      <c r="E83" s="31"/>
      <c r="F83" s="33"/>
      <c r="G83" s="33"/>
      <c r="H83" s="24">
        <v>273</v>
      </c>
      <c r="I83" s="50"/>
      <c r="J83" s="26">
        <f t="shared" si="7"/>
        <v>273</v>
      </c>
      <c r="K83" s="33"/>
      <c r="L83" s="33"/>
      <c r="M83" s="36">
        <f t="shared" si="8"/>
        <v>0</v>
      </c>
      <c r="N83" s="36">
        <f t="shared" ca="1" si="9"/>
        <v>0</v>
      </c>
      <c r="O83" s="37">
        <f t="shared" si="10"/>
        <v>0</v>
      </c>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row>
    <row r="84" spans="2:53">
      <c r="B84" s="41"/>
      <c r="C84" s="31" t="s">
        <v>9</v>
      </c>
      <c r="D84" s="40" t="s">
        <v>261</v>
      </c>
      <c r="E84" s="31"/>
      <c r="F84" s="33"/>
      <c r="G84" s="33"/>
      <c r="H84" s="24">
        <v>312</v>
      </c>
      <c r="I84" s="50"/>
      <c r="J84" s="26">
        <f t="shared" si="7"/>
        <v>312</v>
      </c>
      <c r="K84" s="33"/>
      <c r="L84" s="33"/>
      <c r="M84" s="36">
        <f t="shared" si="8"/>
        <v>0</v>
      </c>
      <c r="N84" s="36">
        <f t="shared" ca="1" si="9"/>
        <v>0</v>
      </c>
      <c r="O84" s="37">
        <f t="shared" si="10"/>
        <v>0</v>
      </c>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row>
    <row r="85" spans="2:53">
      <c r="B85" s="41"/>
      <c r="C85" s="31" t="s">
        <v>9</v>
      </c>
      <c r="D85" s="40" t="s">
        <v>262</v>
      </c>
      <c r="E85" s="31"/>
      <c r="F85" s="33"/>
      <c r="G85" s="33"/>
      <c r="H85" s="24">
        <v>735</v>
      </c>
      <c r="I85" s="50"/>
      <c r="J85" s="26">
        <f t="shared" si="7"/>
        <v>735</v>
      </c>
      <c r="K85" s="33"/>
      <c r="L85" s="33"/>
      <c r="M85" s="36">
        <f t="shared" si="8"/>
        <v>0</v>
      </c>
      <c r="N85" s="36">
        <f t="shared" ca="1" si="9"/>
        <v>0</v>
      </c>
      <c r="O85" s="37">
        <f t="shared" si="10"/>
        <v>0</v>
      </c>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row>
    <row r="86" spans="2:53">
      <c r="B86" s="41"/>
      <c r="C86" s="31" t="s">
        <v>9</v>
      </c>
      <c r="D86" s="40" t="s">
        <v>263</v>
      </c>
      <c r="E86" s="31"/>
      <c r="F86" s="33"/>
      <c r="G86" s="33"/>
      <c r="H86" s="24">
        <v>735</v>
      </c>
      <c r="I86" s="50"/>
      <c r="J86" s="26">
        <f t="shared" ref="J86:J121" si="11">H86-I86</f>
        <v>735</v>
      </c>
      <c r="K86" s="33"/>
      <c r="L86" s="33"/>
      <c r="M86" s="36">
        <f t="shared" si="8"/>
        <v>0</v>
      </c>
      <c r="N86" s="36">
        <f t="shared" ca="1" si="9"/>
        <v>0</v>
      </c>
      <c r="O86" s="37">
        <f t="shared" si="10"/>
        <v>0</v>
      </c>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row>
    <row r="87" spans="2:53">
      <c r="B87" s="41"/>
      <c r="C87" s="31" t="s">
        <v>9</v>
      </c>
      <c r="D87" s="40" t="s">
        <v>264</v>
      </c>
      <c r="E87" s="31"/>
      <c r="F87" s="33"/>
      <c r="G87" s="33"/>
      <c r="H87" s="24">
        <v>705</v>
      </c>
      <c r="I87" s="50"/>
      <c r="J87" s="26">
        <f t="shared" si="11"/>
        <v>705</v>
      </c>
      <c r="K87" s="33"/>
      <c r="L87" s="33"/>
      <c r="M87" s="36">
        <f t="shared" si="8"/>
        <v>0</v>
      </c>
      <c r="N87" s="36">
        <f t="shared" ca="1" si="9"/>
        <v>0</v>
      </c>
      <c r="O87" s="37">
        <f t="shared" si="10"/>
        <v>0</v>
      </c>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row>
    <row r="88" spans="2:53">
      <c r="B88" s="41"/>
      <c r="C88" s="31" t="s">
        <v>9</v>
      </c>
      <c r="D88" s="40" t="s">
        <v>265</v>
      </c>
      <c r="E88" s="31"/>
      <c r="F88" s="33"/>
      <c r="G88" s="33"/>
      <c r="H88" s="24">
        <v>1547</v>
      </c>
      <c r="I88" s="50"/>
      <c r="J88" s="26">
        <f t="shared" si="11"/>
        <v>1547</v>
      </c>
      <c r="K88" s="33"/>
      <c r="L88" s="33"/>
      <c r="M88" s="36">
        <f t="shared" si="8"/>
        <v>0</v>
      </c>
      <c r="N88" s="36">
        <f t="shared" ca="1" si="9"/>
        <v>0</v>
      </c>
      <c r="O88" s="37">
        <f t="shared" si="10"/>
        <v>0</v>
      </c>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row>
    <row r="89" spans="2:53">
      <c r="B89" s="41"/>
      <c r="C89" s="31" t="s">
        <v>9</v>
      </c>
      <c r="D89" s="40" t="s">
        <v>266</v>
      </c>
      <c r="E89" s="31"/>
      <c r="F89" s="33"/>
      <c r="G89" s="33"/>
      <c r="H89" s="24">
        <v>36250</v>
      </c>
      <c r="I89" s="51"/>
      <c r="J89" s="26">
        <f t="shared" si="11"/>
        <v>36250</v>
      </c>
      <c r="K89" s="33"/>
      <c r="L89" s="33"/>
      <c r="M89" s="36">
        <f t="shared" si="8"/>
        <v>0</v>
      </c>
      <c r="N89" s="36">
        <f t="shared" ca="1" si="9"/>
        <v>0</v>
      </c>
      <c r="O89" s="37">
        <f t="shared" si="10"/>
        <v>0</v>
      </c>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row>
    <row r="90" spans="2:53">
      <c r="B90" s="41"/>
      <c r="C90" s="31" t="s">
        <v>9</v>
      </c>
      <c r="D90" s="40" t="s">
        <v>267</v>
      </c>
      <c r="E90" s="31"/>
      <c r="F90" s="33"/>
      <c r="G90" s="33"/>
      <c r="H90" s="24">
        <v>1166.2</v>
      </c>
      <c r="I90" s="50"/>
      <c r="J90" s="26">
        <f t="shared" si="11"/>
        <v>1166.2</v>
      </c>
      <c r="K90" s="33"/>
      <c r="L90" s="33"/>
      <c r="M90" s="36">
        <f t="shared" si="8"/>
        <v>0</v>
      </c>
      <c r="N90" s="36">
        <f t="shared" ca="1" si="9"/>
        <v>0</v>
      </c>
      <c r="O90" s="37">
        <f t="shared" si="10"/>
        <v>0</v>
      </c>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row>
    <row r="91" spans="2:53">
      <c r="B91" s="41"/>
      <c r="C91" s="31" t="s">
        <v>9</v>
      </c>
      <c r="D91" s="40" t="s">
        <v>268</v>
      </c>
      <c r="E91" s="31"/>
      <c r="F91" s="33"/>
      <c r="G91" s="33"/>
      <c r="H91" s="24">
        <v>1166.2</v>
      </c>
      <c r="I91" s="50"/>
      <c r="J91" s="26">
        <f t="shared" si="11"/>
        <v>1166.2</v>
      </c>
      <c r="K91" s="35"/>
      <c r="L91" s="35"/>
      <c r="M91" s="36">
        <f t="shared" si="8"/>
        <v>0</v>
      </c>
      <c r="N91" s="36">
        <f t="shared" ca="1" si="9"/>
        <v>0</v>
      </c>
      <c r="O91" s="37">
        <f t="shared" si="10"/>
        <v>0</v>
      </c>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row>
    <row r="92" spans="2:53">
      <c r="B92" s="41"/>
      <c r="C92" s="31" t="s">
        <v>9</v>
      </c>
      <c r="D92" s="40" t="s">
        <v>269</v>
      </c>
      <c r="E92" s="31"/>
      <c r="F92" s="33"/>
      <c r="G92" s="33"/>
      <c r="H92" s="24">
        <v>1166.2</v>
      </c>
      <c r="I92" s="50"/>
      <c r="J92" s="26">
        <f t="shared" si="11"/>
        <v>1166.2</v>
      </c>
      <c r="K92" s="35"/>
      <c r="L92" s="35"/>
      <c r="M92" s="36">
        <f t="shared" si="8"/>
        <v>0</v>
      </c>
      <c r="N92" s="36">
        <f t="shared" ca="1" si="9"/>
        <v>0</v>
      </c>
      <c r="O92" s="37">
        <f t="shared" si="10"/>
        <v>0</v>
      </c>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row>
    <row r="93" spans="2:53">
      <c r="B93" s="41"/>
      <c r="C93" s="31" t="s">
        <v>9</v>
      </c>
      <c r="D93" s="40" t="s">
        <v>270</v>
      </c>
      <c r="E93" s="31"/>
      <c r="F93" s="33"/>
      <c r="G93" s="33"/>
      <c r="H93" s="24">
        <v>1118.5999999999999</v>
      </c>
      <c r="I93" s="50"/>
      <c r="J93" s="26">
        <f t="shared" si="11"/>
        <v>1118.5999999999999</v>
      </c>
      <c r="K93" s="35"/>
      <c r="L93" s="35"/>
      <c r="M93" s="36">
        <f t="shared" si="8"/>
        <v>0</v>
      </c>
      <c r="N93" s="36">
        <f t="shared" ca="1" si="9"/>
        <v>0</v>
      </c>
      <c r="O93" s="37">
        <f t="shared" si="10"/>
        <v>0</v>
      </c>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row>
    <row r="94" spans="2:53">
      <c r="B94" s="41"/>
      <c r="C94" s="31" t="s">
        <v>9</v>
      </c>
      <c r="D94" s="40" t="s">
        <v>271</v>
      </c>
      <c r="E94" s="31"/>
      <c r="F94" s="33"/>
      <c r="G94" s="33"/>
      <c r="H94" s="24">
        <v>975</v>
      </c>
      <c r="I94" s="50"/>
      <c r="J94" s="26">
        <f t="shared" si="11"/>
        <v>975</v>
      </c>
      <c r="K94" s="33"/>
      <c r="L94" s="33"/>
      <c r="M94" s="36">
        <f t="shared" si="8"/>
        <v>0</v>
      </c>
      <c r="N94" s="36">
        <f t="shared" ca="1" si="9"/>
        <v>0</v>
      </c>
      <c r="O94" s="37">
        <f t="shared" si="10"/>
        <v>0</v>
      </c>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row>
    <row r="95" spans="2:53">
      <c r="B95" s="41"/>
      <c r="C95" s="31" t="s">
        <v>9</v>
      </c>
      <c r="D95" s="40" t="s">
        <v>272</v>
      </c>
      <c r="E95" s="31"/>
      <c r="F95" s="33"/>
      <c r="G95" s="33"/>
      <c r="H95" s="24">
        <v>24650</v>
      </c>
      <c r="I95" s="50"/>
      <c r="J95" s="26">
        <f t="shared" si="11"/>
        <v>24650</v>
      </c>
      <c r="K95" s="35"/>
      <c r="L95" s="35"/>
      <c r="M95" s="36">
        <f t="shared" si="8"/>
        <v>0</v>
      </c>
      <c r="N95" s="36">
        <f t="shared" ca="1" si="9"/>
        <v>0</v>
      </c>
      <c r="O95" s="37">
        <f t="shared" si="10"/>
        <v>0</v>
      </c>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row>
    <row r="96" spans="2:53">
      <c r="B96" s="41"/>
      <c r="C96" s="31" t="s">
        <v>9</v>
      </c>
      <c r="D96" s="40" t="s">
        <v>273</v>
      </c>
      <c r="E96" s="31"/>
      <c r="F96" s="33"/>
      <c r="G96" s="33"/>
      <c r="H96" s="24">
        <v>735</v>
      </c>
      <c r="I96" s="50"/>
      <c r="J96" s="26">
        <f t="shared" si="11"/>
        <v>735</v>
      </c>
      <c r="K96" s="35"/>
      <c r="L96" s="35"/>
      <c r="M96" s="36">
        <f t="shared" si="8"/>
        <v>0</v>
      </c>
      <c r="N96" s="36">
        <f t="shared" ca="1" si="9"/>
        <v>0</v>
      </c>
      <c r="O96" s="37">
        <f t="shared" si="10"/>
        <v>0</v>
      </c>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row>
    <row r="97" spans="2:53">
      <c r="B97" s="41"/>
      <c r="C97" s="31" t="s">
        <v>9</v>
      </c>
      <c r="D97" s="40" t="s">
        <v>274</v>
      </c>
      <c r="E97" s="31"/>
      <c r="F97" s="33"/>
      <c r="G97" s="33"/>
      <c r="H97" s="24">
        <v>735</v>
      </c>
      <c r="I97" s="50"/>
      <c r="J97" s="26">
        <f t="shared" si="11"/>
        <v>735</v>
      </c>
      <c r="K97" s="35"/>
      <c r="L97" s="35"/>
      <c r="M97" s="36">
        <f t="shared" si="8"/>
        <v>0</v>
      </c>
      <c r="N97" s="36">
        <f t="shared" ca="1" si="9"/>
        <v>0</v>
      </c>
      <c r="O97" s="37">
        <f t="shared" si="10"/>
        <v>0</v>
      </c>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row>
    <row r="98" spans="2:53">
      <c r="B98" s="41"/>
      <c r="C98" s="31" t="s">
        <v>9</v>
      </c>
      <c r="D98" s="40" t="s">
        <v>275</v>
      </c>
      <c r="E98" s="31"/>
      <c r="F98" s="33"/>
      <c r="G98" s="33"/>
      <c r="H98" s="24">
        <v>735</v>
      </c>
      <c r="I98" s="50"/>
      <c r="J98" s="26">
        <f t="shared" si="11"/>
        <v>735</v>
      </c>
      <c r="K98" s="35"/>
      <c r="L98" s="35"/>
      <c r="M98" s="36">
        <f t="shared" si="8"/>
        <v>0</v>
      </c>
      <c r="N98" s="36">
        <f t="shared" ca="1" si="9"/>
        <v>0</v>
      </c>
      <c r="O98" s="37">
        <f t="shared" si="10"/>
        <v>0</v>
      </c>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row>
    <row r="99" spans="2:53">
      <c r="B99" s="41"/>
      <c r="C99" s="31" t="s">
        <v>9</v>
      </c>
      <c r="D99" s="40" t="s">
        <v>276</v>
      </c>
      <c r="E99" s="31"/>
      <c r="F99" s="33"/>
      <c r="G99" s="33"/>
      <c r="H99" s="24">
        <v>705</v>
      </c>
      <c r="I99" s="50"/>
      <c r="J99" s="26">
        <f t="shared" si="11"/>
        <v>705</v>
      </c>
      <c r="K99" s="35"/>
      <c r="L99" s="35"/>
      <c r="M99" s="36">
        <f t="shared" si="8"/>
        <v>0</v>
      </c>
      <c r="N99" s="36">
        <f t="shared" ca="1" si="9"/>
        <v>0</v>
      </c>
      <c r="O99" s="37">
        <f t="shared" si="10"/>
        <v>0</v>
      </c>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row>
    <row r="100" spans="2:53">
      <c r="B100" s="41"/>
      <c r="C100" s="31" t="s">
        <v>9</v>
      </c>
      <c r="D100" s="40" t="s">
        <v>277</v>
      </c>
      <c r="E100" s="31"/>
      <c r="F100" s="33"/>
      <c r="G100" s="33"/>
      <c r="H100" s="24">
        <v>187.2</v>
      </c>
      <c r="I100" s="50"/>
      <c r="J100" s="26">
        <f t="shared" si="11"/>
        <v>187.2</v>
      </c>
      <c r="K100" s="35"/>
      <c r="L100" s="35"/>
      <c r="M100" s="36">
        <f t="shared" si="8"/>
        <v>0</v>
      </c>
      <c r="N100" s="36">
        <f t="shared" ca="1" si="9"/>
        <v>0</v>
      </c>
      <c r="O100" s="37">
        <f t="shared" si="10"/>
        <v>0</v>
      </c>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row>
    <row r="101" spans="2:53">
      <c r="B101" s="41" t="s">
        <v>242</v>
      </c>
      <c r="C101" s="31" t="s">
        <v>9</v>
      </c>
      <c r="D101" s="40" t="s">
        <v>278</v>
      </c>
      <c r="E101" s="31"/>
      <c r="F101" s="33"/>
      <c r="G101" s="33"/>
      <c r="H101" s="24">
        <v>676</v>
      </c>
      <c r="I101" s="50"/>
      <c r="J101" s="26">
        <f t="shared" si="11"/>
        <v>676</v>
      </c>
      <c r="K101" s="35"/>
      <c r="L101" s="35"/>
      <c r="M101" s="36">
        <f t="shared" si="8"/>
        <v>0</v>
      </c>
      <c r="N101" s="36">
        <f t="shared" ca="1" si="9"/>
        <v>0</v>
      </c>
      <c r="O101" s="37">
        <f t="shared" si="10"/>
        <v>0</v>
      </c>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row>
    <row r="102" spans="2:53">
      <c r="B102" s="41"/>
      <c r="C102" s="31" t="s">
        <v>9</v>
      </c>
      <c r="D102" s="40" t="s">
        <v>279</v>
      </c>
      <c r="E102" s="31"/>
      <c r="F102" s="33"/>
      <c r="G102" s="33"/>
      <c r="H102" s="24">
        <v>589.71499999999992</v>
      </c>
      <c r="I102" s="50"/>
      <c r="J102" s="26">
        <f t="shared" si="11"/>
        <v>589.71499999999992</v>
      </c>
      <c r="K102" s="35"/>
      <c r="L102" s="35"/>
      <c r="M102" s="36">
        <f t="shared" si="8"/>
        <v>0</v>
      </c>
      <c r="N102" s="36">
        <f t="shared" ca="1" si="9"/>
        <v>0</v>
      </c>
      <c r="O102" s="37">
        <f t="shared" si="10"/>
        <v>0</v>
      </c>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row>
    <row r="103" spans="2:53">
      <c r="B103" s="41" t="s">
        <v>243</v>
      </c>
      <c r="C103" s="31" t="s">
        <v>9</v>
      </c>
      <c r="D103" s="40" t="s">
        <v>280</v>
      </c>
      <c r="E103" s="31"/>
      <c r="F103" s="33"/>
      <c r="G103" s="33"/>
      <c r="H103" s="24">
        <v>561.6</v>
      </c>
      <c r="I103" s="50"/>
      <c r="J103" s="26">
        <f t="shared" si="11"/>
        <v>561.6</v>
      </c>
      <c r="K103" s="35"/>
      <c r="L103" s="35"/>
      <c r="M103" s="36">
        <f t="shared" si="8"/>
        <v>0</v>
      </c>
      <c r="N103" s="36">
        <f t="shared" ca="1" si="9"/>
        <v>0</v>
      </c>
      <c r="O103" s="37">
        <f t="shared" si="10"/>
        <v>0</v>
      </c>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row>
    <row r="104" spans="2:53">
      <c r="B104" s="41" t="s">
        <v>244</v>
      </c>
      <c r="C104" s="31" t="s">
        <v>9</v>
      </c>
      <c r="D104" s="40" t="s">
        <v>281</v>
      </c>
      <c r="E104" s="31"/>
      <c r="F104" s="33"/>
      <c r="G104" s="33"/>
      <c r="H104" s="24">
        <v>561.6</v>
      </c>
      <c r="I104" s="50"/>
      <c r="J104" s="26">
        <f t="shared" si="11"/>
        <v>561.6</v>
      </c>
      <c r="K104" s="35"/>
      <c r="L104" s="35"/>
      <c r="M104" s="36">
        <f t="shared" si="8"/>
        <v>0</v>
      </c>
      <c r="N104" s="36">
        <f t="shared" ca="1" si="9"/>
        <v>0</v>
      </c>
      <c r="O104" s="37">
        <f t="shared" si="10"/>
        <v>0</v>
      </c>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row>
    <row r="105" spans="2:53">
      <c r="B105" s="41" t="s">
        <v>245</v>
      </c>
      <c r="C105" s="31" t="s">
        <v>9</v>
      </c>
      <c r="D105" s="40" t="s">
        <v>282</v>
      </c>
      <c r="E105" s="31"/>
      <c r="F105" s="33"/>
      <c r="G105" s="33"/>
      <c r="H105" s="24">
        <v>351</v>
      </c>
      <c r="I105" s="50"/>
      <c r="J105" s="26">
        <f t="shared" si="11"/>
        <v>351</v>
      </c>
      <c r="K105" s="35"/>
      <c r="L105" s="35"/>
      <c r="M105" s="36">
        <f t="shared" si="8"/>
        <v>0</v>
      </c>
      <c r="N105" s="36">
        <f t="shared" ca="1" si="9"/>
        <v>0</v>
      </c>
      <c r="O105" s="37">
        <f t="shared" si="10"/>
        <v>0</v>
      </c>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row>
    <row r="106" spans="2:53">
      <c r="B106" s="41"/>
      <c r="C106" s="31" t="s">
        <v>9</v>
      </c>
      <c r="D106" s="40" t="s">
        <v>283</v>
      </c>
      <c r="E106" s="31"/>
      <c r="F106" s="33"/>
      <c r="G106" s="33"/>
      <c r="H106" s="24">
        <v>2496</v>
      </c>
      <c r="I106" s="50"/>
      <c r="J106" s="26">
        <f t="shared" si="11"/>
        <v>2496</v>
      </c>
      <c r="K106" s="35"/>
      <c r="L106" s="35"/>
      <c r="M106" s="36">
        <f t="shared" si="8"/>
        <v>0</v>
      </c>
      <c r="N106" s="36">
        <f t="shared" ca="1" si="9"/>
        <v>0</v>
      </c>
      <c r="O106" s="37">
        <f t="shared" si="10"/>
        <v>0</v>
      </c>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row>
    <row r="107" spans="2:53">
      <c r="B107" s="41"/>
      <c r="C107" s="31" t="s">
        <v>9</v>
      </c>
      <c r="D107" s="40" t="s">
        <v>284</v>
      </c>
      <c r="E107" s="31"/>
      <c r="F107" s="33"/>
      <c r="G107" s="33"/>
      <c r="H107" s="24">
        <v>171.12</v>
      </c>
      <c r="I107" s="50"/>
      <c r="J107" s="26">
        <f t="shared" si="11"/>
        <v>171.12</v>
      </c>
      <c r="K107" s="35"/>
      <c r="L107" s="35"/>
      <c r="M107" s="36">
        <f t="shared" si="8"/>
        <v>0</v>
      </c>
      <c r="N107" s="36">
        <f t="shared" ca="1" si="9"/>
        <v>0</v>
      </c>
      <c r="O107" s="37">
        <f t="shared" si="10"/>
        <v>0</v>
      </c>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row>
    <row r="108" spans="2:53">
      <c r="B108" s="41"/>
      <c r="C108" s="31" t="s">
        <v>9</v>
      </c>
      <c r="D108" s="40" t="s">
        <v>285</v>
      </c>
      <c r="E108" s="31"/>
      <c r="F108" s="33"/>
      <c r="G108" s="33"/>
      <c r="H108" s="24">
        <v>170.99999999999997</v>
      </c>
      <c r="I108" s="50"/>
      <c r="J108" s="26">
        <f t="shared" si="11"/>
        <v>170.99999999999997</v>
      </c>
      <c r="K108" s="35"/>
      <c r="L108" s="35"/>
      <c r="M108" s="36">
        <f t="shared" si="8"/>
        <v>0</v>
      </c>
      <c r="N108" s="36">
        <f t="shared" ca="1" si="9"/>
        <v>0</v>
      </c>
      <c r="O108" s="37">
        <f t="shared" si="10"/>
        <v>0</v>
      </c>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row>
    <row r="109" spans="2:53">
      <c r="B109" s="41"/>
      <c r="C109" s="31" t="s">
        <v>9</v>
      </c>
      <c r="D109" s="40" t="s">
        <v>286</v>
      </c>
      <c r="E109" s="31"/>
      <c r="F109" s="33"/>
      <c r="G109" s="33"/>
      <c r="H109" s="24">
        <v>4680</v>
      </c>
      <c r="I109" s="50"/>
      <c r="J109" s="26">
        <f t="shared" si="11"/>
        <v>4680</v>
      </c>
      <c r="K109" s="33"/>
      <c r="L109" s="33"/>
      <c r="M109" s="36">
        <f t="shared" si="8"/>
        <v>0</v>
      </c>
      <c r="N109" s="36">
        <f t="shared" ca="1" si="9"/>
        <v>0</v>
      </c>
      <c r="O109" s="37">
        <f t="shared" si="10"/>
        <v>0</v>
      </c>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row>
    <row r="110" spans="2:53">
      <c r="B110" s="41" t="s">
        <v>246</v>
      </c>
      <c r="C110" s="31" t="s">
        <v>9</v>
      </c>
      <c r="D110" s="40" t="s">
        <v>287</v>
      </c>
      <c r="E110" s="31"/>
      <c r="F110" s="33"/>
      <c r="G110" s="33"/>
      <c r="H110" s="24">
        <v>468</v>
      </c>
      <c r="I110" s="50"/>
      <c r="J110" s="26">
        <f t="shared" si="11"/>
        <v>468</v>
      </c>
      <c r="K110" s="33"/>
      <c r="L110" s="33"/>
      <c r="M110" s="36">
        <f t="shared" si="8"/>
        <v>0</v>
      </c>
      <c r="N110" s="36">
        <f t="shared" ca="1" si="9"/>
        <v>0</v>
      </c>
      <c r="O110" s="37">
        <f t="shared" si="10"/>
        <v>0</v>
      </c>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row>
    <row r="111" spans="2:53">
      <c r="B111" s="41"/>
      <c r="C111" s="31" t="s">
        <v>9</v>
      </c>
      <c r="D111" s="40" t="s">
        <v>288</v>
      </c>
      <c r="E111" s="31"/>
      <c r="F111" s="33"/>
      <c r="G111" s="33"/>
      <c r="H111" s="24">
        <v>0</v>
      </c>
      <c r="I111" s="50"/>
      <c r="J111" s="26">
        <f t="shared" si="11"/>
        <v>0</v>
      </c>
      <c r="K111" s="33"/>
      <c r="L111" s="33"/>
      <c r="M111" s="36">
        <f t="shared" si="8"/>
        <v>0</v>
      </c>
      <c r="N111" s="36">
        <f t="shared" ca="1" si="9"/>
        <v>0</v>
      </c>
      <c r="O111" s="37">
        <f t="shared" si="10"/>
        <v>0</v>
      </c>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row>
    <row r="112" spans="2:53">
      <c r="B112" s="41"/>
      <c r="C112" s="31" t="s">
        <v>9</v>
      </c>
      <c r="D112" s="40" t="s">
        <v>289</v>
      </c>
      <c r="E112" s="31"/>
      <c r="F112" s="33"/>
      <c r="G112" s="33"/>
      <c r="H112" s="24">
        <v>3244.7999999999997</v>
      </c>
      <c r="I112" s="50"/>
      <c r="J112" s="26">
        <f t="shared" si="11"/>
        <v>3244.7999999999997</v>
      </c>
      <c r="K112" s="35"/>
      <c r="L112" s="35"/>
      <c r="M112" s="36">
        <f t="shared" si="8"/>
        <v>0</v>
      </c>
      <c r="N112" s="36">
        <f t="shared" ca="1" si="9"/>
        <v>0</v>
      </c>
      <c r="O112" s="37">
        <f t="shared" si="10"/>
        <v>0</v>
      </c>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row>
    <row r="113" spans="2:53">
      <c r="B113" s="41"/>
      <c r="C113" s="31" t="s">
        <v>9</v>
      </c>
      <c r="D113" s="40" t="s">
        <v>290</v>
      </c>
      <c r="E113" s="31"/>
      <c r="F113" s="33"/>
      <c r="G113" s="33"/>
      <c r="H113" s="24">
        <v>186</v>
      </c>
      <c r="I113" s="34"/>
      <c r="J113" s="26">
        <f t="shared" si="11"/>
        <v>186</v>
      </c>
      <c r="K113" s="33"/>
      <c r="L113" s="33"/>
      <c r="M113" s="36">
        <f t="shared" si="8"/>
        <v>0</v>
      </c>
      <c r="N113" s="36">
        <f t="shared" ca="1" si="9"/>
        <v>0</v>
      </c>
      <c r="O113" s="37">
        <f t="shared" si="10"/>
        <v>0</v>
      </c>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row>
    <row r="114" spans="2:53">
      <c r="B114" s="41"/>
      <c r="C114" s="31" t="s">
        <v>9</v>
      </c>
      <c r="D114" s="40" t="s">
        <v>291</v>
      </c>
      <c r="E114" s="31"/>
      <c r="F114" s="33"/>
      <c r="G114" s="33"/>
      <c r="H114" s="24">
        <v>341.99999999999994</v>
      </c>
      <c r="I114" s="34"/>
      <c r="J114" s="26">
        <f t="shared" si="11"/>
        <v>341.99999999999994</v>
      </c>
      <c r="K114" s="35"/>
      <c r="L114" s="35"/>
      <c r="M114" s="36">
        <f t="shared" si="8"/>
        <v>0</v>
      </c>
      <c r="N114" s="36">
        <f t="shared" ca="1" si="9"/>
        <v>0</v>
      </c>
      <c r="O114" s="37">
        <f t="shared" si="10"/>
        <v>0</v>
      </c>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row>
    <row r="115" spans="2:53">
      <c r="B115" s="41" t="s">
        <v>247</v>
      </c>
      <c r="C115" s="31" t="s">
        <v>9</v>
      </c>
      <c r="D115" s="40" t="s">
        <v>292</v>
      </c>
      <c r="E115" s="31"/>
      <c r="F115" s="33"/>
      <c r="G115" s="33"/>
      <c r="H115" s="24">
        <v>780</v>
      </c>
      <c r="I115" s="34"/>
      <c r="J115" s="26">
        <f t="shared" si="11"/>
        <v>780</v>
      </c>
      <c r="K115" s="35"/>
      <c r="L115" s="35"/>
      <c r="M115" s="36">
        <f t="shared" si="8"/>
        <v>0</v>
      </c>
      <c r="N115" s="36">
        <f t="shared" ca="1" si="9"/>
        <v>0</v>
      </c>
      <c r="O115" s="37">
        <f t="shared" si="10"/>
        <v>0</v>
      </c>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row>
    <row r="116" spans="2:53">
      <c r="B116" s="41"/>
      <c r="C116" s="31" t="s">
        <v>9</v>
      </c>
      <c r="D116" s="40" t="s">
        <v>293</v>
      </c>
      <c r="E116" s="31"/>
      <c r="F116" s="33"/>
      <c r="G116" s="33"/>
      <c r="H116" s="24">
        <v>570</v>
      </c>
      <c r="I116" s="34"/>
      <c r="J116" s="26">
        <f t="shared" si="11"/>
        <v>570</v>
      </c>
      <c r="K116" s="35"/>
      <c r="L116" s="35"/>
      <c r="M116" s="36">
        <f t="shared" si="8"/>
        <v>0</v>
      </c>
      <c r="N116" s="36">
        <f t="shared" ca="1" si="9"/>
        <v>0</v>
      </c>
      <c r="O116" s="37">
        <f t="shared" si="10"/>
        <v>0</v>
      </c>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row>
    <row r="117" spans="2:53">
      <c r="B117" s="41"/>
      <c r="C117" s="31" t="s">
        <v>9</v>
      </c>
      <c r="D117" s="40" t="s">
        <v>294</v>
      </c>
      <c r="E117" s="31"/>
      <c r="F117" s="33"/>
      <c r="G117" s="33"/>
      <c r="H117" s="24">
        <v>5304</v>
      </c>
      <c r="I117" s="34"/>
      <c r="J117" s="26">
        <f t="shared" si="11"/>
        <v>5304</v>
      </c>
      <c r="K117" s="35"/>
      <c r="L117" s="35"/>
      <c r="M117" s="36">
        <f t="shared" si="8"/>
        <v>0</v>
      </c>
      <c r="N117" s="36">
        <f t="shared" ca="1" si="9"/>
        <v>0</v>
      </c>
      <c r="O117" s="37">
        <f t="shared" si="10"/>
        <v>0</v>
      </c>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row>
    <row r="118" spans="2:53">
      <c r="B118" s="41"/>
      <c r="C118" s="31" t="s">
        <v>9</v>
      </c>
      <c r="D118" s="40" t="s">
        <v>295</v>
      </c>
      <c r="E118" s="43"/>
      <c r="F118" s="33"/>
      <c r="G118" s="33"/>
      <c r="H118" s="44">
        <v>248</v>
      </c>
      <c r="I118" s="34"/>
      <c r="J118" s="26">
        <f t="shared" si="11"/>
        <v>248</v>
      </c>
      <c r="K118" s="35"/>
      <c r="L118" s="35"/>
      <c r="M118" s="36">
        <f t="shared" si="8"/>
        <v>0</v>
      </c>
      <c r="N118" s="36">
        <f t="shared" ca="1" si="9"/>
        <v>0</v>
      </c>
      <c r="O118" s="37">
        <f t="shared" si="10"/>
        <v>0</v>
      </c>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row>
    <row r="119" spans="2:53">
      <c r="B119" s="41"/>
      <c r="C119" s="31" t="s">
        <v>9</v>
      </c>
      <c r="D119" s="40" t="s">
        <v>296</v>
      </c>
      <c r="E119" s="43"/>
      <c r="F119" s="33"/>
      <c r="G119" s="33"/>
      <c r="H119" s="44">
        <v>570</v>
      </c>
      <c r="I119" s="34"/>
      <c r="J119" s="26">
        <f t="shared" si="11"/>
        <v>570</v>
      </c>
      <c r="K119" s="35"/>
      <c r="L119" s="35"/>
      <c r="M119" s="36">
        <f t="shared" si="8"/>
        <v>0</v>
      </c>
      <c r="N119" s="36">
        <f t="shared" ca="1" si="9"/>
        <v>0</v>
      </c>
      <c r="O119" s="37">
        <f t="shared" si="10"/>
        <v>0</v>
      </c>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row>
    <row r="120" spans="2:53">
      <c r="B120" s="41" t="s">
        <v>248</v>
      </c>
      <c r="C120" s="31" t="s">
        <v>9</v>
      </c>
      <c r="D120" s="40" t="s">
        <v>297</v>
      </c>
      <c r="E120" s="43"/>
      <c r="F120" s="33"/>
      <c r="G120" s="33"/>
      <c r="H120" s="44">
        <v>78</v>
      </c>
      <c r="I120" s="34"/>
      <c r="J120" s="26">
        <f t="shared" si="11"/>
        <v>78</v>
      </c>
      <c r="K120" s="35"/>
      <c r="L120" s="35"/>
      <c r="M120" s="36">
        <f t="shared" si="8"/>
        <v>0</v>
      </c>
      <c r="N120" s="36">
        <f t="shared" ca="1" si="9"/>
        <v>0</v>
      </c>
      <c r="O120" s="37">
        <f t="shared" si="10"/>
        <v>0</v>
      </c>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row>
    <row r="121" spans="2:53">
      <c r="B121" s="41"/>
      <c r="C121" s="31" t="s">
        <v>9</v>
      </c>
      <c r="D121" s="40" t="s">
        <v>298</v>
      </c>
      <c r="E121" s="43"/>
      <c r="F121" s="33"/>
      <c r="G121" s="33"/>
      <c r="H121" s="44">
        <v>1085</v>
      </c>
      <c r="I121" s="34"/>
      <c r="J121" s="26">
        <f t="shared" si="11"/>
        <v>1085</v>
      </c>
      <c r="K121" s="33"/>
      <c r="L121" s="33"/>
      <c r="M121" s="36">
        <f t="shared" si="8"/>
        <v>0</v>
      </c>
      <c r="N121" s="36">
        <f t="shared" ca="1" si="9"/>
        <v>0</v>
      </c>
      <c r="O121" s="37">
        <f t="shared" si="10"/>
        <v>0</v>
      </c>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row>
    <row r="122" spans="2:53">
      <c r="B122" s="41"/>
      <c r="C122" s="31" t="s">
        <v>9</v>
      </c>
      <c r="D122" s="40" t="s">
        <v>299</v>
      </c>
      <c r="E122" s="43"/>
      <c r="F122" s="33"/>
      <c r="G122" s="33"/>
      <c r="H122" s="44">
        <v>107.19800000000001</v>
      </c>
      <c r="I122" s="34"/>
      <c r="J122" s="26">
        <f t="shared" ref="J122:J124" si="12">H122-I122</f>
        <v>107.19800000000001</v>
      </c>
      <c r="K122" s="33"/>
      <c r="L122" s="33"/>
      <c r="M122" s="36">
        <f t="shared" si="8"/>
        <v>0</v>
      </c>
      <c r="N122" s="36">
        <f t="shared" ca="1" si="9"/>
        <v>0</v>
      </c>
      <c r="O122" s="37">
        <f t="shared" si="10"/>
        <v>0</v>
      </c>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row>
    <row r="123" spans="2:53">
      <c r="B123" s="41"/>
      <c r="C123" s="31" t="s">
        <v>9</v>
      </c>
      <c r="D123" s="40" t="s">
        <v>300</v>
      </c>
      <c r="E123" s="43"/>
      <c r="F123" s="33"/>
      <c r="G123" s="33"/>
      <c r="H123" s="44">
        <v>56.999999999999993</v>
      </c>
      <c r="I123" s="34"/>
      <c r="J123" s="26">
        <f t="shared" si="12"/>
        <v>56.999999999999993</v>
      </c>
      <c r="K123" s="33"/>
      <c r="L123" s="33"/>
      <c r="M123" s="36">
        <f t="shared" si="8"/>
        <v>0</v>
      </c>
      <c r="N123" s="36">
        <f t="shared" ca="1" si="9"/>
        <v>0</v>
      </c>
      <c r="O123" s="37">
        <f t="shared" si="10"/>
        <v>0</v>
      </c>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row>
    <row r="124" spans="2:53">
      <c r="B124" s="41" t="s">
        <v>249</v>
      </c>
      <c r="C124" s="31" t="s">
        <v>9</v>
      </c>
      <c r="D124" s="40" t="s">
        <v>301</v>
      </c>
      <c r="E124" s="43"/>
      <c r="F124" s="33"/>
      <c r="G124" s="33"/>
      <c r="H124" s="44">
        <v>1146.6000000000001</v>
      </c>
      <c r="I124" s="34"/>
      <c r="J124" s="26">
        <f t="shared" si="12"/>
        <v>1146.6000000000001</v>
      </c>
      <c r="K124" s="33"/>
      <c r="L124" s="33"/>
      <c r="M124" s="36">
        <f t="shared" si="8"/>
        <v>0</v>
      </c>
      <c r="N124" s="36">
        <f t="shared" ca="1" si="9"/>
        <v>0</v>
      </c>
      <c r="O124" s="37">
        <f t="shared" si="10"/>
        <v>0</v>
      </c>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row>
    <row r="125" spans="2:53">
      <c r="B125" s="41"/>
      <c r="C125" s="31" t="s">
        <v>9</v>
      </c>
      <c r="D125" s="40" t="s">
        <v>302</v>
      </c>
      <c r="E125" s="31"/>
      <c r="F125" s="33"/>
      <c r="G125" s="33"/>
      <c r="H125" s="24">
        <v>9114</v>
      </c>
      <c r="I125" s="34"/>
      <c r="J125" s="26">
        <f t="shared" ref="J125" si="13">H125-I125</f>
        <v>9114</v>
      </c>
      <c r="K125" s="33"/>
      <c r="L125" s="33"/>
      <c r="M125" s="36">
        <f t="shared" ref="M125:M143" si="14">DATEDIF(K125,L125,"d")</f>
        <v>0</v>
      </c>
      <c r="N125" s="36">
        <f t="shared" ref="N125:N143" ca="1" si="15">MIN(DATEDIF(K125, $L$4, "d"), M125)</f>
        <v>0</v>
      </c>
      <c r="O125" s="37">
        <f t="shared" ref="O125:O143" si="16">IF(M125=0, 0, MIN(N125/M125, 1))</f>
        <v>0</v>
      </c>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row>
    <row r="126" spans="2:53">
      <c r="B126" s="41"/>
      <c r="C126" s="31" t="s">
        <v>9</v>
      </c>
      <c r="D126" s="40" t="s">
        <v>303</v>
      </c>
      <c r="E126" s="31"/>
      <c r="F126" s="33"/>
      <c r="G126" s="33"/>
      <c r="H126" s="45">
        <v>911.4</v>
      </c>
      <c r="I126" s="34"/>
      <c r="J126" s="26">
        <f t="shared" ref="J126:J143" si="17">H126-I126</f>
        <v>911.4</v>
      </c>
      <c r="K126" s="33"/>
      <c r="L126" s="33"/>
      <c r="M126" s="36">
        <f t="shared" si="14"/>
        <v>0</v>
      </c>
      <c r="N126" s="36">
        <f t="shared" ca="1" si="15"/>
        <v>0</v>
      </c>
      <c r="O126" s="37">
        <f t="shared" si="16"/>
        <v>0</v>
      </c>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row>
    <row r="127" spans="2:53">
      <c r="B127" s="41"/>
      <c r="C127" s="31" t="s">
        <v>9</v>
      </c>
      <c r="D127" s="40" t="s">
        <v>304</v>
      </c>
      <c r="E127" s="41"/>
      <c r="F127" s="33"/>
      <c r="G127" s="33"/>
      <c r="H127" s="45">
        <v>837.9</v>
      </c>
      <c r="I127" s="34"/>
      <c r="J127" s="26">
        <f t="shared" si="17"/>
        <v>837.9</v>
      </c>
      <c r="K127" s="33"/>
      <c r="L127" s="33"/>
      <c r="M127" s="36">
        <f t="shared" si="14"/>
        <v>0</v>
      </c>
      <c r="N127" s="36">
        <f t="shared" ca="1" si="15"/>
        <v>0</v>
      </c>
      <c r="O127" s="37">
        <f t="shared" si="16"/>
        <v>0</v>
      </c>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row>
    <row r="128" spans="2:53">
      <c r="B128" s="41" t="s">
        <v>250</v>
      </c>
      <c r="C128" s="31" t="s">
        <v>9</v>
      </c>
      <c r="D128" s="46" t="s">
        <v>305</v>
      </c>
      <c r="E128" s="41"/>
      <c r="F128" s="33"/>
      <c r="G128" s="33"/>
      <c r="H128" s="45">
        <v>936</v>
      </c>
      <c r="I128" s="34"/>
      <c r="J128" s="26">
        <f t="shared" si="17"/>
        <v>936</v>
      </c>
      <c r="K128" s="33"/>
      <c r="L128" s="33"/>
      <c r="M128" s="36">
        <f t="shared" si="14"/>
        <v>0</v>
      </c>
      <c r="N128" s="36">
        <f t="shared" ca="1" si="15"/>
        <v>0</v>
      </c>
      <c r="O128" s="37">
        <f t="shared" si="16"/>
        <v>0</v>
      </c>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row>
    <row r="129" spans="2:53">
      <c r="B129" s="41"/>
      <c r="C129" s="31" t="s">
        <v>9</v>
      </c>
      <c r="D129" s="46" t="s">
        <v>306</v>
      </c>
      <c r="E129" s="47"/>
      <c r="F129" s="33"/>
      <c r="G129" s="33"/>
      <c r="H129" s="45">
        <v>5304</v>
      </c>
      <c r="I129" s="34"/>
      <c r="J129" s="26">
        <f t="shared" si="17"/>
        <v>5304</v>
      </c>
      <c r="K129" s="33"/>
      <c r="L129" s="33"/>
      <c r="M129" s="36">
        <f t="shared" si="14"/>
        <v>0</v>
      </c>
      <c r="N129" s="36">
        <f t="shared" ca="1" si="15"/>
        <v>0</v>
      </c>
      <c r="O129" s="37">
        <f t="shared" si="16"/>
        <v>0</v>
      </c>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row>
    <row r="130" spans="2:53">
      <c r="B130" s="41"/>
      <c r="C130" s="31" t="s">
        <v>9</v>
      </c>
      <c r="D130" s="46" t="s">
        <v>307</v>
      </c>
      <c r="E130" s="47"/>
      <c r="F130" s="33"/>
      <c r="G130" s="33"/>
      <c r="H130" s="45">
        <v>459.42</v>
      </c>
      <c r="I130" s="34"/>
      <c r="J130" s="26">
        <f t="shared" si="17"/>
        <v>459.42</v>
      </c>
      <c r="K130" s="33"/>
      <c r="L130" s="33"/>
      <c r="M130" s="36">
        <f t="shared" si="14"/>
        <v>0</v>
      </c>
      <c r="N130" s="36">
        <f t="shared" ca="1" si="15"/>
        <v>0</v>
      </c>
      <c r="O130" s="37">
        <f t="shared" si="16"/>
        <v>0</v>
      </c>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row>
    <row r="131" spans="2:53">
      <c r="B131" s="41"/>
      <c r="C131" s="31" t="s">
        <v>9</v>
      </c>
      <c r="D131" s="46" t="s">
        <v>308</v>
      </c>
      <c r="E131" s="47"/>
      <c r="F131" s="33"/>
      <c r="G131" s="33"/>
      <c r="H131" s="45">
        <v>683.99999999999989</v>
      </c>
      <c r="I131" s="34"/>
      <c r="J131" s="26">
        <f t="shared" si="17"/>
        <v>683.99999999999989</v>
      </c>
      <c r="K131" s="33"/>
      <c r="L131" s="33"/>
      <c r="M131" s="36">
        <f t="shared" si="14"/>
        <v>0</v>
      </c>
      <c r="N131" s="36">
        <f t="shared" ca="1" si="15"/>
        <v>0</v>
      </c>
      <c r="O131" s="37">
        <f t="shared" si="16"/>
        <v>0</v>
      </c>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row>
    <row r="132" spans="2:53">
      <c r="B132" s="41"/>
      <c r="C132" s="31" t="s">
        <v>9</v>
      </c>
      <c r="D132" s="46" t="s">
        <v>320</v>
      </c>
      <c r="E132" s="47"/>
      <c r="F132" s="33"/>
      <c r="G132" s="33"/>
      <c r="H132" s="45">
        <v>7000</v>
      </c>
      <c r="I132" s="34"/>
      <c r="J132" s="26">
        <f t="shared" si="17"/>
        <v>7000</v>
      </c>
      <c r="K132" s="33"/>
      <c r="L132" s="33"/>
      <c r="M132" s="36">
        <f t="shared" si="14"/>
        <v>0</v>
      </c>
      <c r="N132" s="36">
        <f t="shared" ca="1" si="15"/>
        <v>0</v>
      </c>
      <c r="O132" s="37">
        <f t="shared" si="16"/>
        <v>0</v>
      </c>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row>
    <row r="133" spans="2:53">
      <c r="B133" s="41" t="s">
        <v>251</v>
      </c>
      <c r="C133" s="31" t="s">
        <v>9</v>
      </c>
      <c r="D133" s="46" t="s">
        <v>309</v>
      </c>
      <c r="E133" s="47"/>
      <c r="F133" s="33"/>
      <c r="G133" s="33"/>
      <c r="H133" s="45">
        <v>624</v>
      </c>
      <c r="I133" s="34"/>
      <c r="J133" s="26">
        <f t="shared" si="17"/>
        <v>624</v>
      </c>
      <c r="K133" s="33"/>
      <c r="L133" s="33"/>
      <c r="M133" s="36">
        <f t="shared" si="14"/>
        <v>0</v>
      </c>
      <c r="N133" s="36">
        <f t="shared" ca="1" si="15"/>
        <v>0</v>
      </c>
      <c r="O133" s="37">
        <f t="shared" si="16"/>
        <v>0</v>
      </c>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row>
    <row r="134" spans="2:53">
      <c r="B134" s="41"/>
      <c r="C134" s="31" t="s">
        <v>9</v>
      </c>
      <c r="D134" s="46" t="s">
        <v>310</v>
      </c>
      <c r="E134" s="47"/>
      <c r="F134" s="33"/>
      <c r="G134" s="33"/>
      <c r="H134" s="45">
        <v>2500</v>
      </c>
      <c r="I134" s="34"/>
      <c r="J134" s="26">
        <f t="shared" si="17"/>
        <v>2500</v>
      </c>
      <c r="K134" s="33"/>
      <c r="L134" s="33"/>
      <c r="M134" s="36">
        <f t="shared" si="14"/>
        <v>0</v>
      </c>
      <c r="N134" s="36">
        <f t="shared" ca="1" si="15"/>
        <v>0</v>
      </c>
      <c r="O134" s="37">
        <f t="shared" si="16"/>
        <v>0</v>
      </c>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row>
    <row r="135" spans="2:53">
      <c r="B135" s="41"/>
      <c r="C135" s="31" t="s">
        <v>9</v>
      </c>
      <c r="D135" s="46" t="s">
        <v>311</v>
      </c>
      <c r="E135" s="47"/>
      <c r="F135" s="33"/>
      <c r="G135" s="33"/>
      <c r="H135" s="45">
        <v>153.13999999999999</v>
      </c>
      <c r="I135" s="34"/>
      <c r="J135" s="26">
        <f t="shared" si="17"/>
        <v>153.13999999999999</v>
      </c>
      <c r="K135" s="33"/>
      <c r="L135" s="33"/>
      <c r="M135" s="36">
        <f t="shared" si="14"/>
        <v>0</v>
      </c>
      <c r="N135" s="36">
        <f t="shared" ca="1" si="15"/>
        <v>0</v>
      </c>
      <c r="O135" s="37">
        <f t="shared" si="16"/>
        <v>0</v>
      </c>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row>
    <row r="136" spans="2:53">
      <c r="B136" s="41" t="s">
        <v>252</v>
      </c>
      <c r="C136" s="31" t="s">
        <v>9</v>
      </c>
      <c r="D136" s="46" t="s">
        <v>312</v>
      </c>
      <c r="E136" s="47"/>
      <c r="F136" s="33"/>
      <c r="G136" s="33"/>
      <c r="H136" s="45">
        <v>0</v>
      </c>
      <c r="I136" s="34"/>
      <c r="J136" s="26">
        <f t="shared" si="17"/>
        <v>0</v>
      </c>
      <c r="K136" s="33"/>
      <c r="L136" s="33"/>
      <c r="M136" s="36">
        <f t="shared" si="14"/>
        <v>0</v>
      </c>
      <c r="N136" s="36">
        <f t="shared" ca="1" si="15"/>
        <v>0</v>
      </c>
      <c r="O136" s="37">
        <f t="shared" si="16"/>
        <v>0</v>
      </c>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row>
    <row r="137" spans="2:53">
      <c r="B137" s="41" t="s">
        <v>253</v>
      </c>
      <c r="C137" s="31" t="s">
        <v>9</v>
      </c>
      <c r="D137" s="46" t="s">
        <v>313</v>
      </c>
      <c r="E137" s="47"/>
      <c r="F137" s="33"/>
      <c r="G137" s="33"/>
      <c r="H137" s="45">
        <v>0</v>
      </c>
      <c r="I137" s="34"/>
      <c r="J137" s="26">
        <f t="shared" si="17"/>
        <v>0</v>
      </c>
      <c r="K137" s="33"/>
      <c r="L137" s="33"/>
      <c r="M137" s="36">
        <f t="shared" si="14"/>
        <v>0</v>
      </c>
      <c r="N137" s="36">
        <f t="shared" ca="1" si="15"/>
        <v>0</v>
      </c>
      <c r="O137" s="37">
        <f t="shared" si="16"/>
        <v>0</v>
      </c>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row>
    <row r="138" spans="2:53">
      <c r="B138" s="41" t="s">
        <v>254</v>
      </c>
      <c r="C138" s="31" t="s">
        <v>9</v>
      </c>
      <c r="D138" s="46" t="s">
        <v>314</v>
      </c>
      <c r="E138" s="47"/>
      <c r="F138" s="33"/>
      <c r="G138" s="33"/>
      <c r="H138" s="45">
        <v>1560</v>
      </c>
      <c r="I138" s="34"/>
      <c r="J138" s="26">
        <f t="shared" si="17"/>
        <v>1560</v>
      </c>
      <c r="K138" s="33"/>
      <c r="L138" s="33"/>
      <c r="M138" s="36">
        <f t="shared" si="14"/>
        <v>0</v>
      </c>
      <c r="N138" s="36">
        <f t="shared" ca="1" si="15"/>
        <v>0</v>
      </c>
      <c r="O138" s="37">
        <f t="shared" si="16"/>
        <v>0</v>
      </c>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row>
    <row r="139" spans="2:53">
      <c r="B139" s="41"/>
      <c r="C139" s="31" t="s">
        <v>9</v>
      </c>
      <c r="D139" s="46" t="s">
        <v>315</v>
      </c>
      <c r="E139" s="47"/>
      <c r="F139" s="33"/>
      <c r="G139" s="33"/>
      <c r="H139" s="45">
        <v>9300</v>
      </c>
      <c r="I139" s="34"/>
      <c r="J139" s="26">
        <f t="shared" si="17"/>
        <v>9300</v>
      </c>
      <c r="K139" s="33"/>
      <c r="L139" s="33"/>
      <c r="M139" s="36">
        <f t="shared" si="14"/>
        <v>0</v>
      </c>
      <c r="N139" s="36">
        <f t="shared" ca="1" si="15"/>
        <v>0</v>
      </c>
      <c r="O139" s="37">
        <f t="shared" si="16"/>
        <v>0</v>
      </c>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row>
    <row r="140" spans="2:53">
      <c r="B140" s="41"/>
      <c r="C140" s="31" t="s">
        <v>9</v>
      </c>
      <c r="D140" s="46" t="s">
        <v>316</v>
      </c>
      <c r="E140" s="47"/>
      <c r="F140" s="33"/>
      <c r="G140" s="33"/>
      <c r="H140" s="45">
        <v>496</v>
      </c>
      <c r="I140" s="34"/>
      <c r="J140" s="26">
        <f t="shared" si="17"/>
        <v>496</v>
      </c>
      <c r="K140" s="33"/>
      <c r="L140" s="33"/>
      <c r="M140" s="36">
        <f t="shared" si="14"/>
        <v>0</v>
      </c>
      <c r="N140" s="36">
        <f t="shared" ca="1" si="15"/>
        <v>0</v>
      </c>
      <c r="O140" s="37">
        <f t="shared" si="16"/>
        <v>0</v>
      </c>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row>
    <row r="141" spans="2:53">
      <c r="B141" s="41"/>
      <c r="C141" s="31" t="s">
        <v>9</v>
      </c>
      <c r="D141" s="46" t="s">
        <v>317</v>
      </c>
      <c r="E141" s="47"/>
      <c r="F141" s="33"/>
      <c r="G141" s="33"/>
      <c r="H141" s="45">
        <v>1140</v>
      </c>
      <c r="I141" s="34"/>
      <c r="J141" s="26">
        <f t="shared" si="17"/>
        <v>1140</v>
      </c>
      <c r="K141" s="33"/>
      <c r="L141" s="33"/>
      <c r="M141" s="36">
        <f t="shared" si="14"/>
        <v>0</v>
      </c>
      <c r="N141" s="36">
        <f t="shared" ca="1" si="15"/>
        <v>0</v>
      </c>
      <c r="O141" s="37">
        <f t="shared" si="16"/>
        <v>0</v>
      </c>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row>
    <row r="142" spans="2:53">
      <c r="B142" s="41"/>
      <c r="C142" s="31" t="s">
        <v>9</v>
      </c>
      <c r="D142" s="46" t="s">
        <v>318</v>
      </c>
      <c r="E142" s="47"/>
      <c r="F142" s="33"/>
      <c r="G142" s="33"/>
      <c r="H142" s="45">
        <v>1456</v>
      </c>
      <c r="I142" s="34"/>
      <c r="J142" s="26">
        <f t="shared" si="17"/>
        <v>1456</v>
      </c>
      <c r="K142" s="33"/>
      <c r="L142" s="33"/>
      <c r="M142" s="36">
        <f t="shared" si="14"/>
        <v>0</v>
      </c>
      <c r="N142" s="36">
        <f t="shared" ca="1" si="15"/>
        <v>0</v>
      </c>
      <c r="O142" s="37">
        <f t="shared" si="16"/>
        <v>0</v>
      </c>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row>
    <row r="143" spans="2:53">
      <c r="B143" s="85">
        <v>2.16</v>
      </c>
      <c r="C143" s="31" t="s">
        <v>9</v>
      </c>
      <c r="D143" s="86" t="s">
        <v>319</v>
      </c>
      <c r="E143" s="87"/>
      <c r="F143" s="88"/>
      <c r="G143" s="88"/>
      <c r="H143" s="89">
        <v>3993.6000000000004</v>
      </c>
      <c r="I143" s="90"/>
      <c r="J143" s="91">
        <f t="shared" si="17"/>
        <v>3993.6000000000004</v>
      </c>
      <c r="K143" s="88"/>
      <c r="L143" s="88"/>
      <c r="M143" s="92">
        <f t="shared" si="14"/>
        <v>0</v>
      </c>
      <c r="N143" s="92">
        <f t="shared" ca="1" si="15"/>
        <v>0</v>
      </c>
      <c r="O143" s="93">
        <f t="shared" si="16"/>
        <v>0</v>
      </c>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row>
    <row r="144" spans="2:53">
      <c r="B144" s="41" t="s">
        <v>371</v>
      </c>
      <c r="C144" s="31" t="s">
        <v>9</v>
      </c>
      <c r="D144" s="46" t="s">
        <v>322</v>
      </c>
      <c r="E144" s="47"/>
      <c r="F144" s="33"/>
      <c r="G144" s="33"/>
      <c r="H144" s="45">
        <v>0</v>
      </c>
      <c r="I144" s="34"/>
      <c r="J144" s="26">
        <f t="shared" ref="J144:J145" si="18">H144-I144</f>
        <v>0</v>
      </c>
      <c r="K144" s="33"/>
      <c r="L144" s="33"/>
      <c r="M144" s="98">
        <f t="shared" ref="M144:M145" si="19">DATEDIF(K144,L144,"d")</f>
        <v>0</v>
      </c>
      <c r="N144" s="94">
        <f t="shared" ref="N144:N145" ca="1" si="20">MIN(DATEDIF(K144, $L$4, "d"), M144)</f>
        <v>0</v>
      </c>
      <c r="O144" s="95">
        <f t="shared" ref="O144:O145" si="21">IF(M144=0, 0, MIN(N144/M144, 1))</f>
        <v>0</v>
      </c>
      <c r="P144" s="84"/>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row>
    <row r="145" spans="2:53">
      <c r="B145" s="41"/>
      <c r="C145" s="31" t="s">
        <v>9</v>
      </c>
      <c r="D145" s="46" t="s">
        <v>323</v>
      </c>
      <c r="E145" s="47"/>
      <c r="F145" s="33"/>
      <c r="G145" s="33"/>
      <c r="H145" s="45">
        <v>82000</v>
      </c>
      <c r="I145" s="34"/>
      <c r="J145" s="26">
        <f t="shared" si="18"/>
        <v>82000</v>
      </c>
      <c r="K145" s="33"/>
      <c r="L145" s="33"/>
      <c r="M145" s="99">
        <f t="shared" si="19"/>
        <v>0</v>
      </c>
      <c r="N145" s="96">
        <f t="shared" ca="1" si="20"/>
        <v>0</v>
      </c>
      <c r="O145" s="97">
        <f t="shared" si="21"/>
        <v>0</v>
      </c>
      <c r="P145" s="84"/>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row>
    <row r="146" spans="2:53" ht="30">
      <c r="B146" s="41"/>
      <c r="C146" s="31" t="s">
        <v>9</v>
      </c>
      <c r="D146" s="46" t="s">
        <v>324</v>
      </c>
      <c r="E146" s="47"/>
      <c r="F146" s="33"/>
      <c r="G146" s="33"/>
      <c r="H146" s="45">
        <v>20500</v>
      </c>
      <c r="I146" s="34"/>
      <c r="J146" s="26">
        <f t="shared" ref="J146:J209" si="22">H146-I146</f>
        <v>20500</v>
      </c>
      <c r="K146" s="33"/>
      <c r="L146" s="33"/>
      <c r="M146" s="99">
        <f t="shared" ref="M146:M209" si="23">DATEDIF(K146,L146,"d")</f>
        <v>0</v>
      </c>
      <c r="N146" s="96">
        <f t="shared" ref="N146:N209" ca="1" si="24">MIN(DATEDIF(K146, $L$4, "d"), M146)</f>
        <v>0</v>
      </c>
      <c r="O146" s="97">
        <f t="shared" ref="O146:O209" si="25">IF(M146=0, 0, MIN(N146/M146, 1))</f>
        <v>0</v>
      </c>
      <c r="P146" s="84"/>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row>
    <row r="147" spans="2:53">
      <c r="B147" s="41"/>
      <c r="C147" s="31" t="s">
        <v>9</v>
      </c>
      <c r="D147" s="46" t="s">
        <v>325</v>
      </c>
      <c r="E147" s="47"/>
      <c r="F147" s="33"/>
      <c r="G147" s="33"/>
      <c r="H147" s="45">
        <v>8000</v>
      </c>
      <c r="I147" s="34"/>
      <c r="J147" s="26">
        <f t="shared" si="22"/>
        <v>8000</v>
      </c>
      <c r="K147" s="33"/>
      <c r="L147" s="33"/>
      <c r="M147" s="99">
        <f t="shared" si="23"/>
        <v>0</v>
      </c>
      <c r="N147" s="96">
        <f t="shared" ca="1" si="24"/>
        <v>0</v>
      </c>
      <c r="O147" s="97">
        <f t="shared" si="25"/>
        <v>0</v>
      </c>
      <c r="P147" s="84"/>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row>
    <row r="148" spans="2:53">
      <c r="B148" s="41"/>
      <c r="C148" s="31" t="s">
        <v>9</v>
      </c>
      <c r="D148" s="46" t="s">
        <v>326</v>
      </c>
      <c r="E148" s="47"/>
      <c r="F148" s="33"/>
      <c r="G148" s="33"/>
      <c r="H148" s="45">
        <v>10000</v>
      </c>
      <c r="I148" s="34"/>
      <c r="J148" s="26">
        <f t="shared" si="22"/>
        <v>10000</v>
      </c>
      <c r="K148" s="33"/>
      <c r="L148" s="33"/>
      <c r="M148" s="99">
        <f t="shared" si="23"/>
        <v>0</v>
      </c>
      <c r="N148" s="96">
        <f t="shared" ca="1" si="24"/>
        <v>0</v>
      </c>
      <c r="O148" s="97">
        <f t="shared" si="25"/>
        <v>0</v>
      </c>
      <c r="P148" s="84"/>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row>
    <row r="149" spans="2:53">
      <c r="B149" s="41"/>
      <c r="C149" s="31" t="s">
        <v>9</v>
      </c>
      <c r="D149" s="46" t="s">
        <v>327</v>
      </c>
      <c r="E149" s="47"/>
      <c r="F149" s="33"/>
      <c r="G149" s="33"/>
      <c r="H149" s="45">
        <v>4400</v>
      </c>
      <c r="I149" s="34"/>
      <c r="J149" s="26">
        <f t="shared" si="22"/>
        <v>4400</v>
      </c>
      <c r="K149" s="33"/>
      <c r="L149" s="33"/>
      <c r="M149" s="99">
        <f t="shared" si="23"/>
        <v>0</v>
      </c>
      <c r="N149" s="96">
        <f t="shared" ca="1" si="24"/>
        <v>0</v>
      </c>
      <c r="O149" s="97">
        <f t="shared" si="25"/>
        <v>0</v>
      </c>
      <c r="P149" s="84"/>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row>
    <row r="150" spans="2:53">
      <c r="B150" s="41" t="s">
        <v>372</v>
      </c>
      <c r="C150" s="31" t="s">
        <v>9</v>
      </c>
      <c r="D150" s="46" t="s">
        <v>328</v>
      </c>
      <c r="E150" s="47"/>
      <c r="F150" s="33"/>
      <c r="G150" s="33"/>
      <c r="H150" s="45">
        <v>82500</v>
      </c>
      <c r="I150" s="34"/>
      <c r="J150" s="26">
        <f t="shared" si="22"/>
        <v>82500</v>
      </c>
      <c r="K150" s="33"/>
      <c r="L150" s="33"/>
      <c r="M150" s="99">
        <f t="shared" si="23"/>
        <v>0</v>
      </c>
      <c r="N150" s="96">
        <f t="shared" ca="1" si="24"/>
        <v>0</v>
      </c>
      <c r="O150" s="97">
        <f t="shared" si="25"/>
        <v>0</v>
      </c>
      <c r="P150" s="84"/>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row>
    <row r="151" spans="2:53">
      <c r="B151" s="41"/>
      <c r="C151" s="31" t="s">
        <v>9</v>
      </c>
      <c r="D151" s="46" t="s">
        <v>320</v>
      </c>
      <c r="E151" s="47"/>
      <c r="F151" s="33"/>
      <c r="G151" s="33"/>
      <c r="H151" s="45">
        <v>10000</v>
      </c>
      <c r="I151" s="34"/>
      <c r="J151" s="26">
        <f t="shared" si="22"/>
        <v>10000</v>
      </c>
      <c r="K151" s="33"/>
      <c r="L151" s="33"/>
      <c r="M151" s="99">
        <f t="shared" si="23"/>
        <v>0</v>
      </c>
      <c r="N151" s="96">
        <f t="shared" ca="1" si="24"/>
        <v>0</v>
      </c>
      <c r="O151" s="97">
        <f t="shared" si="25"/>
        <v>0</v>
      </c>
      <c r="P151" s="84"/>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row>
    <row r="152" spans="2:53">
      <c r="B152" s="41" t="s">
        <v>373</v>
      </c>
      <c r="C152" s="31" t="s">
        <v>9</v>
      </c>
      <c r="D152" s="46" t="s">
        <v>329</v>
      </c>
      <c r="E152" s="47"/>
      <c r="F152" s="33"/>
      <c r="G152" s="33"/>
      <c r="H152" s="45">
        <v>11000</v>
      </c>
      <c r="I152" s="34"/>
      <c r="J152" s="26">
        <f t="shared" si="22"/>
        <v>11000</v>
      </c>
      <c r="K152" s="33"/>
      <c r="L152" s="33"/>
      <c r="M152" s="99">
        <f t="shared" si="23"/>
        <v>0</v>
      </c>
      <c r="N152" s="96">
        <f t="shared" ca="1" si="24"/>
        <v>0</v>
      </c>
      <c r="O152" s="97">
        <f t="shared" si="25"/>
        <v>0</v>
      </c>
      <c r="P152" s="84"/>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row>
    <row r="153" spans="2:53">
      <c r="B153" s="41"/>
      <c r="C153" s="31" t="s">
        <v>9</v>
      </c>
      <c r="D153" s="46" t="s">
        <v>330</v>
      </c>
      <c r="E153" s="47"/>
      <c r="F153" s="33"/>
      <c r="G153" s="33"/>
      <c r="H153" s="45">
        <v>1895.3999999999999</v>
      </c>
      <c r="I153" s="34"/>
      <c r="J153" s="26">
        <f t="shared" si="22"/>
        <v>1895.3999999999999</v>
      </c>
      <c r="K153" s="101">
        <v>46254</v>
      </c>
      <c r="L153" s="101">
        <v>46255</v>
      </c>
      <c r="M153" s="99">
        <f t="shared" si="23"/>
        <v>1</v>
      </c>
      <c r="N153" s="96">
        <f t="shared" ca="1" si="24"/>
        <v>1</v>
      </c>
      <c r="O153" s="97">
        <f t="shared" ca="1" si="25"/>
        <v>1</v>
      </c>
      <c r="P153" s="84"/>
      <c r="Q153" s="30"/>
      <c r="R153" s="30"/>
      <c r="S153" s="30"/>
      <c r="T153" s="30"/>
      <c r="U153" s="30"/>
      <c r="V153" s="30"/>
      <c r="W153" s="30"/>
      <c r="X153" s="30"/>
      <c r="Y153" s="30"/>
      <c r="Z153" s="30"/>
      <c r="AA153" s="100"/>
      <c r="AB153" s="10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row>
    <row r="154" spans="2:53">
      <c r="B154" s="41" t="s">
        <v>374</v>
      </c>
      <c r="C154" s="31" t="s">
        <v>9</v>
      </c>
      <c r="D154" s="46" t="s">
        <v>331</v>
      </c>
      <c r="E154" s="47"/>
      <c r="F154" s="33"/>
      <c r="G154" s="33"/>
      <c r="H154" s="45">
        <v>780</v>
      </c>
      <c r="I154" s="34"/>
      <c r="J154" s="26">
        <f t="shared" si="22"/>
        <v>780</v>
      </c>
      <c r="K154" s="33"/>
      <c r="L154" s="33"/>
      <c r="M154" s="99">
        <f t="shared" si="23"/>
        <v>0</v>
      </c>
      <c r="N154" s="96">
        <f t="shared" ca="1" si="24"/>
        <v>0</v>
      </c>
      <c r="O154" s="97">
        <f t="shared" si="25"/>
        <v>0</v>
      </c>
      <c r="P154" s="84"/>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row>
    <row r="155" spans="2:53">
      <c r="B155" s="41"/>
      <c r="C155" s="31" t="s">
        <v>9</v>
      </c>
      <c r="D155" s="46" t="s">
        <v>332</v>
      </c>
      <c r="E155" s="47"/>
      <c r="F155" s="33"/>
      <c r="G155" s="33"/>
      <c r="H155" s="45">
        <v>400</v>
      </c>
      <c r="I155" s="34"/>
      <c r="J155" s="26">
        <f t="shared" si="22"/>
        <v>400</v>
      </c>
      <c r="K155" s="33"/>
      <c r="L155" s="33"/>
      <c r="M155" s="99">
        <f t="shared" si="23"/>
        <v>0</v>
      </c>
      <c r="N155" s="96">
        <f t="shared" ca="1" si="24"/>
        <v>0</v>
      </c>
      <c r="O155" s="97">
        <f t="shared" si="25"/>
        <v>0</v>
      </c>
      <c r="P155" s="84"/>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row>
    <row r="156" spans="2:53">
      <c r="B156" s="41"/>
      <c r="C156" s="31" t="s">
        <v>9</v>
      </c>
      <c r="D156" s="46" t="s">
        <v>333</v>
      </c>
      <c r="E156" s="47"/>
      <c r="F156" s="33"/>
      <c r="G156" s="33"/>
      <c r="H156" s="45">
        <v>1320</v>
      </c>
      <c r="I156" s="34"/>
      <c r="J156" s="26">
        <f t="shared" si="22"/>
        <v>1320</v>
      </c>
      <c r="K156" s="33"/>
      <c r="L156" s="33"/>
      <c r="M156" s="99">
        <f t="shared" si="23"/>
        <v>0</v>
      </c>
      <c r="N156" s="96">
        <f t="shared" ca="1" si="24"/>
        <v>0</v>
      </c>
      <c r="O156" s="97">
        <f t="shared" si="25"/>
        <v>0</v>
      </c>
      <c r="P156" s="84"/>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row>
    <row r="157" spans="2:53">
      <c r="B157" s="41"/>
      <c r="C157" s="31" t="s">
        <v>9</v>
      </c>
      <c r="D157" s="46" t="s">
        <v>334</v>
      </c>
      <c r="E157" s="47"/>
      <c r="F157" s="33"/>
      <c r="G157" s="33"/>
      <c r="H157" s="45">
        <v>5500</v>
      </c>
      <c r="I157" s="34"/>
      <c r="J157" s="26">
        <f t="shared" si="22"/>
        <v>5500</v>
      </c>
      <c r="K157" s="33"/>
      <c r="L157" s="33"/>
      <c r="M157" s="99">
        <f t="shared" si="23"/>
        <v>0</v>
      </c>
      <c r="N157" s="96">
        <f t="shared" ca="1" si="24"/>
        <v>0</v>
      </c>
      <c r="O157" s="97">
        <f t="shared" si="25"/>
        <v>0</v>
      </c>
      <c r="P157" s="84"/>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row>
    <row r="158" spans="2:53">
      <c r="B158" s="41" t="s">
        <v>375</v>
      </c>
      <c r="C158" s="31" t="s">
        <v>9</v>
      </c>
      <c r="D158" s="46" t="s">
        <v>366</v>
      </c>
      <c r="E158" s="47"/>
      <c r="F158" s="33"/>
      <c r="G158" s="33"/>
      <c r="H158" s="45">
        <v>4800</v>
      </c>
      <c r="I158" s="34"/>
      <c r="J158" s="26">
        <f t="shared" si="22"/>
        <v>4800</v>
      </c>
      <c r="K158" s="33"/>
      <c r="L158" s="33"/>
      <c r="M158" s="99">
        <f t="shared" si="23"/>
        <v>0</v>
      </c>
      <c r="N158" s="96">
        <f t="shared" ca="1" si="24"/>
        <v>0</v>
      </c>
      <c r="O158" s="97">
        <f t="shared" si="25"/>
        <v>0</v>
      </c>
      <c r="P158" s="84"/>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row>
    <row r="159" spans="2:53">
      <c r="B159" s="41"/>
      <c r="C159" s="31" t="s">
        <v>9</v>
      </c>
      <c r="D159" s="46" t="s">
        <v>367</v>
      </c>
      <c r="E159" s="47"/>
      <c r="F159" s="33"/>
      <c r="G159" s="33"/>
      <c r="H159" s="45">
        <v>4200</v>
      </c>
      <c r="I159" s="34"/>
      <c r="J159" s="26">
        <f t="shared" si="22"/>
        <v>4200</v>
      </c>
      <c r="K159" s="33"/>
      <c r="L159" s="33"/>
      <c r="M159" s="99">
        <f t="shared" si="23"/>
        <v>0</v>
      </c>
      <c r="N159" s="96">
        <f t="shared" ca="1" si="24"/>
        <v>0</v>
      </c>
      <c r="O159" s="97">
        <f t="shared" si="25"/>
        <v>0</v>
      </c>
      <c r="P159" s="84"/>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row>
    <row r="160" spans="2:53">
      <c r="B160" s="41" t="s">
        <v>376</v>
      </c>
      <c r="C160" s="31" t="s">
        <v>9</v>
      </c>
      <c r="D160" s="46" t="s">
        <v>335</v>
      </c>
      <c r="E160" s="47"/>
      <c r="F160" s="33"/>
      <c r="G160" s="33"/>
      <c r="H160" s="45">
        <v>0</v>
      </c>
      <c r="I160" s="34"/>
      <c r="J160" s="26">
        <f t="shared" si="22"/>
        <v>0</v>
      </c>
      <c r="K160" s="33"/>
      <c r="L160" s="33"/>
      <c r="M160" s="99">
        <f t="shared" si="23"/>
        <v>0</v>
      </c>
      <c r="N160" s="96">
        <f t="shared" ca="1" si="24"/>
        <v>0</v>
      </c>
      <c r="O160" s="97">
        <f t="shared" si="25"/>
        <v>0</v>
      </c>
      <c r="P160" s="84"/>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row>
    <row r="161" spans="2:53">
      <c r="B161" s="41"/>
      <c r="C161" s="31" t="s">
        <v>9</v>
      </c>
      <c r="D161" s="46" t="s">
        <v>336</v>
      </c>
      <c r="E161" s="47"/>
      <c r="F161" s="33"/>
      <c r="G161" s="33"/>
      <c r="H161" s="45">
        <v>0</v>
      </c>
      <c r="I161" s="34"/>
      <c r="J161" s="26">
        <f t="shared" si="22"/>
        <v>0</v>
      </c>
      <c r="K161" s="33"/>
      <c r="L161" s="33"/>
      <c r="M161" s="99">
        <f t="shared" si="23"/>
        <v>0</v>
      </c>
      <c r="N161" s="96">
        <f t="shared" ca="1" si="24"/>
        <v>0</v>
      </c>
      <c r="O161" s="97">
        <f t="shared" si="25"/>
        <v>0</v>
      </c>
      <c r="P161" s="84"/>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row>
    <row r="162" spans="2:53">
      <c r="B162" s="41" t="s">
        <v>377</v>
      </c>
      <c r="C162" s="31" t="s">
        <v>9</v>
      </c>
      <c r="D162" s="46" t="s">
        <v>337</v>
      </c>
      <c r="E162" s="47"/>
      <c r="F162" s="33"/>
      <c r="G162" s="33"/>
      <c r="H162" s="45">
        <v>0</v>
      </c>
      <c r="I162" s="34"/>
      <c r="J162" s="26">
        <f t="shared" si="22"/>
        <v>0</v>
      </c>
      <c r="K162" s="33"/>
      <c r="L162" s="33"/>
      <c r="M162" s="99">
        <f t="shared" si="23"/>
        <v>0</v>
      </c>
      <c r="N162" s="96">
        <f t="shared" ca="1" si="24"/>
        <v>0</v>
      </c>
      <c r="O162" s="97">
        <f t="shared" si="25"/>
        <v>0</v>
      </c>
      <c r="P162" s="84"/>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row>
    <row r="163" spans="2:53">
      <c r="B163" s="41"/>
      <c r="C163" s="31" t="s">
        <v>9</v>
      </c>
      <c r="D163" s="46" t="s">
        <v>338</v>
      </c>
      <c r="E163" s="47"/>
      <c r="F163" s="33"/>
      <c r="G163" s="33"/>
      <c r="H163" s="45">
        <v>0</v>
      </c>
      <c r="I163" s="34"/>
      <c r="J163" s="26">
        <f t="shared" si="22"/>
        <v>0</v>
      </c>
      <c r="K163" s="33"/>
      <c r="L163" s="33"/>
      <c r="M163" s="99">
        <f t="shared" si="23"/>
        <v>0</v>
      </c>
      <c r="N163" s="96">
        <f t="shared" ca="1" si="24"/>
        <v>0</v>
      </c>
      <c r="O163" s="97">
        <f t="shared" si="25"/>
        <v>0</v>
      </c>
      <c r="P163" s="84"/>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row>
    <row r="164" spans="2:53">
      <c r="B164" s="41" t="s">
        <v>378</v>
      </c>
      <c r="C164" s="31" t="s">
        <v>9</v>
      </c>
      <c r="D164" s="46" t="s">
        <v>368</v>
      </c>
      <c r="E164" s="47"/>
      <c r="F164" s="33"/>
      <c r="G164" s="33"/>
      <c r="H164" s="45">
        <v>22000</v>
      </c>
      <c r="I164" s="34"/>
      <c r="J164" s="26">
        <f t="shared" si="22"/>
        <v>22000</v>
      </c>
      <c r="K164" s="33"/>
      <c r="L164" s="33"/>
      <c r="M164" s="99">
        <f t="shared" si="23"/>
        <v>0</v>
      </c>
      <c r="N164" s="96">
        <f t="shared" ca="1" si="24"/>
        <v>0</v>
      </c>
      <c r="O164" s="97">
        <f t="shared" si="25"/>
        <v>0</v>
      </c>
      <c r="P164" s="84"/>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row>
    <row r="165" spans="2:53">
      <c r="B165" s="41"/>
      <c r="C165" s="31" t="s">
        <v>9</v>
      </c>
      <c r="D165" s="46" t="s">
        <v>339</v>
      </c>
      <c r="E165" s="47"/>
      <c r="F165" s="33"/>
      <c r="G165" s="33"/>
      <c r="H165" s="45">
        <v>9307.5</v>
      </c>
      <c r="I165" s="34"/>
      <c r="J165" s="26">
        <f t="shared" si="22"/>
        <v>9307.5</v>
      </c>
      <c r="K165" s="33"/>
      <c r="L165" s="33"/>
      <c r="M165" s="99">
        <f t="shared" si="23"/>
        <v>0</v>
      </c>
      <c r="N165" s="96">
        <f t="shared" ca="1" si="24"/>
        <v>0</v>
      </c>
      <c r="O165" s="97">
        <f t="shared" si="25"/>
        <v>0</v>
      </c>
      <c r="P165" s="84"/>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row>
    <row r="166" spans="2:53">
      <c r="B166" s="41"/>
      <c r="C166" s="31" t="s">
        <v>9</v>
      </c>
      <c r="D166" s="46" t="s">
        <v>369</v>
      </c>
      <c r="E166" s="47"/>
      <c r="F166" s="33"/>
      <c r="G166" s="33"/>
      <c r="H166" s="45">
        <v>8000</v>
      </c>
      <c r="I166" s="34"/>
      <c r="J166" s="26">
        <f t="shared" si="22"/>
        <v>8000</v>
      </c>
      <c r="K166" s="33"/>
      <c r="L166" s="33"/>
      <c r="M166" s="99">
        <f t="shared" si="23"/>
        <v>0</v>
      </c>
      <c r="N166" s="96">
        <f t="shared" ca="1" si="24"/>
        <v>0</v>
      </c>
      <c r="O166" s="97">
        <f t="shared" si="25"/>
        <v>0</v>
      </c>
      <c r="P166" s="84"/>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row>
    <row r="167" spans="2:53">
      <c r="B167" s="41" t="s">
        <v>379</v>
      </c>
      <c r="C167" s="31" t="s">
        <v>9</v>
      </c>
      <c r="D167" s="46" t="s">
        <v>340</v>
      </c>
      <c r="E167" s="47"/>
      <c r="F167" s="33"/>
      <c r="G167" s="33"/>
      <c r="H167" s="45">
        <v>164</v>
      </c>
      <c r="I167" s="34"/>
      <c r="J167" s="26">
        <f t="shared" si="22"/>
        <v>164</v>
      </c>
      <c r="K167" s="33"/>
      <c r="L167" s="33"/>
      <c r="M167" s="99">
        <f t="shared" si="23"/>
        <v>0</v>
      </c>
      <c r="N167" s="96">
        <f t="shared" ca="1" si="24"/>
        <v>0</v>
      </c>
      <c r="O167" s="97">
        <f t="shared" si="25"/>
        <v>0</v>
      </c>
      <c r="P167" s="84"/>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row>
    <row r="168" spans="2:53">
      <c r="B168" s="41"/>
      <c r="C168" s="31" t="s">
        <v>9</v>
      </c>
      <c r="D168" s="46" t="s">
        <v>341</v>
      </c>
      <c r="E168" s="47"/>
      <c r="F168" s="33"/>
      <c r="G168" s="33"/>
      <c r="H168" s="45">
        <v>164</v>
      </c>
      <c r="I168" s="34"/>
      <c r="J168" s="26">
        <f t="shared" si="22"/>
        <v>164</v>
      </c>
      <c r="K168" s="33"/>
      <c r="L168" s="33"/>
      <c r="M168" s="99">
        <f t="shared" si="23"/>
        <v>0</v>
      </c>
      <c r="N168" s="96">
        <f t="shared" ca="1" si="24"/>
        <v>0</v>
      </c>
      <c r="O168" s="97">
        <f t="shared" si="25"/>
        <v>0</v>
      </c>
      <c r="P168" s="84"/>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row>
    <row r="169" spans="2:53">
      <c r="B169" s="41"/>
      <c r="C169" s="31" t="s">
        <v>9</v>
      </c>
      <c r="D169" s="46" t="s">
        <v>342</v>
      </c>
      <c r="E169" s="47"/>
      <c r="F169" s="33"/>
      <c r="G169" s="33"/>
      <c r="H169" s="45">
        <v>115.19999999999999</v>
      </c>
      <c r="I169" s="34"/>
      <c r="J169" s="26">
        <f t="shared" si="22"/>
        <v>115.19999999999999</v>
      </c>
      <c r="K169" s="33"/>
      <c r="L169" s="33"/>
      <c r="M169" s="99">
        <f t="shared" si="23"/>
        <v>0</v>
      </c>
      <c r="N169" s="96">
        <f t="shared" ca="1" si="24"/>
        <v>0</v>
      </c>
      <c r="O169" s="97">
        <f t="shared" si="25"/>
        <v>0</v>
      </c>
      <c r="P169" s="84"/>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row>
    <row r="170" spans="2:53">
      <c r="B170" s="41"/>
      <c r="C170" s="31" t="s">
        <v>9</v>
      </c>
      <c r="D170" s="46" t="s">
        <v>343</v>
      </c>
      <c r="E170" s="47"/>
      <c r="F170" s="33"/>
      <c r="G170" s="33"/>
      <c r="H170" s="45">
        <v>49.6</v>
      </c>
      <c r="I170" s="34"/>
      <c r="J170" s="26">
        <f t="shared" si="22"/>
        <v>49.6</v>
      </c>
      <c r="K170" s="33"/>
      <c r="L170" s="33"/>
      <c r="M170" s="99">
        <f t="shared" si="23"/>
        <v>0</v>
      </c>
      <c r="N170" s="96">
        <f t="shared" ca="1" si="24"/>
        <v>0</v>
      </c>
      <c r="O170" s="97">
        <f t="shared" si="25"/>
        <v>0</v>
      </c>
      <c r="P170" s="84"/>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row>
    <row r="171" spans="2:53" ht="30">
      <c r="B171" s="41" t="s">
        <v>380</v>
      </c>
      <c r="C171" s="31" t="s">
        <v>9</v>
      </c>
      <c r="D171" s="46" t="s">
        <v>344</v>
      </c>
      <c r="E171" s="47"/>
      <c r="F171" s="33"/>
      <c r="G171" s="33"/>
      <c r="H171" s="45">
        <v>5481.7</v>
      </c>
      <c r="I171" s="34"/>
      <c r="J171" s="26">
        <f t="shared" si="22"/>
        <v>5481.7</v>
      </c>
      <c r="K171" s="33"/>
      <c r="L171" s="33"/>
      <c r="M171" s="99">
        <f t="shared" si="23"/>
        <v>0</v>
      </c>
      <c r="N171" s="96">
        <f t="shared" ca="1" si="24"/>
        <v>0</v>
      </c>
      <c r="O171" s="97">
        <f t="shared" si="25"/>
        <v>0</v>
      </c>
      <c r="P171" s="84"/>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row>
    <row r="172" spans="2:53" ht="30">
      <c r="B172" s="41"/>
      <c r="C172" s="31" t="s">
        <v>9</v>
      </c>
      <c r="D172" s="46" t="s">
        <v>345</v>
      </c>
      <c r="E172" s="47"/>
      <c r="F172" s="33"/>
      <c r="G172" s="33"/>
      <c r="H172" s="45">
        <v>1925.28</v>
      </c>
      <c r="I172" s="34"/>
      <c r="J172" s="26">
        <f t="shared" si="22"/>
        <v>1925.28</v>
      </c>
      <c r="K172" s="33"/>
      <c r="L172" s="33"/>
      <c r="M172" s="99">
        <f t="shared" si="23"/>
        <v>0</v>
      </c>
      <c r="N172" s="96">
        <f t="shared" ca="1" si="24"/>
        <v>0</v>
      </c>
      <c r="O172" s="97">
        <f t="shared" si="25"/>
        <v>0</v>
      </c>
      <c r="P172" s="84"/>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row>
    <row r="173" spans="2:53">
      <c r="B173" s="41" t="s">
        <v>381</v>
      </c>
      <c r="C173" s="31" t="s">
        <v>9</v>
      </c>
      <c r="D173" s="46" t="s">
        <v>346</v>
      </c>
      <c r="E173" s="47"/>
      <c r="F173" s="33"/>
      <c r="G173" s="33"/>
      <c r="H173" s="45">
        <v>0</v>
      </c>
      <c r="I173" s="34"/>
      <c r="J173" s="26">
        <f t="shared" si="22"/>
        <v>0</v>
      </c>
      <c r="K173" s="33"/>
      <c r="L173" s="33"/>
      <c r="M173" s="99">
        <f t="shared" si="23"/>
        <v>0</v>
      </c>
      <c r="N173" s="96">
        <f t="shared" ca="1" si="24"/>
        <v>0</v>
      </c>
      <c r="O173" s="97">
        <f t="shared" si="25"/>
        <v>0</v>
      </c>
      <c r="P173" s="84"/>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row>
    <row r="174" spans="2:53">
      <c r="B174" s="41"/>
      <c r="C174" s="31" t="s">
        <v>9</v>
      </c>
      <c r="D174" s="46" t="s">
        <v>347</v>
      </c>
      <c r="E174" s="47"/>
      <c r="F174" s="33"/>
      <c r="G174" s="33"/>
      <c r="H174" s="45">
        <v>512.5</v>
      </c>
      <c r="I174" s="34"/>
      <c r="J174" s="26">
        <f t="shared" si="22"/>
        <v>512.5</v>
      </c>
      <c r="K174" s="33"/>
      <c r="L174" s="33"/>
      <c r="M174" s="99">
        <f t="shared" si="23"/>
        <v>0</v>
      </c>
      <c r="N174" s="96">
        <f t="shared" ca="1" si="24"/>
        <v>0</v>
      </c>
      <c r="O174" s="97">
        <f t="shared" si="25"/>
        <v>0</v>
      </c>
      <c r="P174" s="84"/>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row>
    <row r="175" spans="2:53" ht="30">
      <c r="B175" s="41"/>
      <c r="C175" s="31" t="s">
        <v>9</v>
      </c>
      <c r="D175" s="46" t="s">
        <v>345</v>
      </c>
      <c r="E175" s="47"/>
      <c r="F175" s="33"/>
      <c r="G175" s="33"/>
      <c r="H175" s="45">
        <v>180</v>
      </c>
      <c r="I175" s="34"/>
      <c r="J175" s="26">
        <f t="shared" si="22"/>
        <v>180</v>
      </c>
      <c r="K175" s="33"/>
      <c r="L175" s="33"/>
      <c r="M175" s="99">
        <f t="shared" si="23"/>
        <v>0</v>
      </c>
      <c r="N175" s="96">
        <f t="shared" ca="1" si="24"/>
        <v>0</v>
      </c>
      <c r="O175" s="97">
        <f t="shared" si="25"/>
        <v>0</v>
      </c>
      <c r="P175" s="84"/>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row>
    <row r="176" spans="2:53">
      <c r="B176" s="41" t="s">
        <v>382</v>
      </c>
      <c r="C176" s="31" t="s">
        <v>9</v>
      </c>
      <c r="D176" s="46" t="s">
        <v>348</v>
      </c>
      <c r="E176" s="47"/>
      <c r="F176" s="33"/>
      <c r="G176" s="33"/>
      <c r="H176" s="45">
        <v>0</v>
      </c>
      <c r="I176" s="34"/>
      <c r="J176" s="26">
        <f t="shared" si="22"/>
        <v>0</v>
      </c>
      <c r="K176" s="33"/>
      <c r="L176" s="33"/>
      <c r="M176" s="99">
        <f t="shared" si="23"/>
        <v>0</v>
      </c>
      <c r="N176" s="96">
        <f t="shared" ca="1" si="24"/>
        <v>0</v>
      </c>
      <c r="O176" s="97">
        <f t="shared" si="25"/>
        <v>0</v>
      </c>
      <c r="P176" s="84"/>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row>
    <row r="177" spans="2:53">
      <c r="B177" s="41"/>
      <c r="C177" s="31" t="s">
        <v>9</v>
      </c>
      <c r="D177" s="46" t="s">
        <v>349</v>
      </c>
      <c r="E177" s="47"/>
      <c r="F177" s="33"/>
      <c r="G177" s="33"/>
      <c r="H177" s="45">
        <v>274.7</v>
      </c>
      <c r="I177" s="34"/>
      <c r="J177" s="26">
        <f t="shared" si="22"/>
        <v>274.7</v>
      </c>
      <c r="K177" s="33"/>
      <c r="L177" s="33"/>
      <c r="M177" s="99">
        <f t="shared" si="23"/>
        <v>0</v>
      </c>
      <c r="N177" s="96">
        <f t="shared" ca="1" si="24"/>
        <v>0</v>
      </c>
      <c r="O177" s="97">
        <f t="shared" si="25"/>
        <v>0</v>
      </c>
      <c r="P177" s="84"/>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row>
    <row r="178" spans="2:53" ht="30">
      <c r="B178" s="41"/>
      <c r="C178" s="31" t="s">
        <v>9</v>
      </c>
      <c r="D178" s="46" t="s">
        <v>345</v>
      </c>
      <c r="E178" s="47"/>
      <c r="F178" s="33"/>
      <c r="G178" s="33"/>
      <c r="H178" s="45">
        <v>96.47999999999999</v>
      </c>
      <c r="I178" s="34"/>
      <c r="J178" s="26">
        <f t="shared" si="22"/>
        <v>96.47999999999999</v>
      </c>
      <c r="K178" s="33"/>
      <c r="L178" s="33"/>
      <c r="M178" s="99">
        <f t="shared" si="23"/>
        <v>0</v>
      </c>
      <c r="N178" s="96">
        <f t="shared" ca="1" si="24"/>
        <v>0</v>
      </c>
      <c r="O178" s="97">
        <f t="shared" si="25"/>
        <v>0</v>
      </c>
      <c r="P178" s="84"/>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row>
    <row r="179" spans="2:53">
      <c r="B179" s="41" t="s">
        <v>383</v>
      </c>
      <c r="C179" s="31" t="s">
        <v>9</v>
      </c>
      <c r="D179" s="46" t="s">
        <v>350</v>
      </c>
      <c r="E179" s="47"/>
      <c r="F179" s="33"/>
      <c r="G179" s="33"/>
      <c r="H179" s="45">
        <v>0</v>
      </c>
      <c r="I179" s="34"/>
      <c r="J179" s="26">
        <f t="shared" si="22"/>
        <v>0</v>
      </c>
      <c r="K179" s="33"/>
      <c r="L179" s="33"/>
      <c r="M179" s="99">
        <f t="shared" si="23"/>
        <v>0</v>
      </c>
      <c r="N179" s="96">
        <f t="shared" ca="1" si="24"/>
        <v>0</v>
      </c>
      <c r="O179" s="97">
        <f t="shared" si="25"/>
        <v>0</v>
      </c>
      <c r="P179" s="84"/>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row>
    <row r="180" spans="2:53">
      <c r="B180" s="41"/>
      <c r="C180" s="31" t="s">
        <v>9</v>
      </c>
      <c r="D180" s="46" t="s">
        <v>351</v>
      </c>
      <c r="E180" s="47"/>
      <c r="F180" s="33"/>
      <c r="G180" s="33"/>
      <c r="H180" s="45">
        <v>319.79999999999995</v>
      </c>
      <c r="I180" s="34"/>
      <c r="J180" s="26">
        <f t="shared" si="22"/>
        <v>319.79999999999995</v>
      </c>
      <c r="K180" s="33"/>
      <c r="L180" s="33"/>
      <c r="M180" s="99">
        <f t="shared" si="23"/>
        <v>0</v>
      </c>
      <c r="N180" s="96">
        <f t="shared" ca="1" si="24"/>
        <v>0</v>
      </c>
      <c r="O180" s="97">
        <f t="shared" si="25"/>
        <v>0</v>
      </c>
      <c r="P180" s="84"/>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row>
    <row r="181" spans="2:53" ht="30">
      <c r="B181" s="41"/>
      <c r="C181" s="31" t="s">
        <v>9</v>
      </c>
      <c r="D181" s="46" t="s">
        <v>345</v>
      </c>
      <c r="E181" s="47"/>
      <c r="F181" s="33"/>
      <c r="G181" s="33"/>
      <c r="H181" s="45">
        <v>112.32</v>
      </c>
      <c r="I181" s="34"/>
      <c r="J181" s="26">
        <f t="shared" si="22"/>
        <v>112.32</v>
      </c>
      <c r="K181" s="33"/>
      <c r="L181" s="33"/>
      <c r="M181" s="99">
        <f t="shared" si="23"/>
        <v>0</v>
      </c>
      <c r="N181" s="96">
        <f t="shared" ca="1" si="24"/>
        <v>0</v>
      </c>
      <c r="O181" s="97">
        <f t="shared" si="25"/>
        <v>0</v>
      </c>
      <c r="P181" s="84"/>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row>
    <row r="182" spans="2:53">
      <c r="B182" s="41" t="s">
        <v>384</v>
      </c>
      <c r="C182" s="31" t="s">
        <v>9</v>
      </c>
      <c r="D182" s="46" t="s">
        <v>352</v>
      </c>
      <c r="E182" s="47"/>
      <c r="F182" s="33"/>
      <c r="G182" s="33"/>
      <c r="H182" s="45">
        <v>0</v>
      </c>
      <c r="I182" s="34"/>
      <c r="J182" s="26">
        <f t="shared" si="22"/>
        <v>0</v>
      </c>
      <c r="K182" s="33"/>
      <c r="L182" s="33"/>
      <c r="M182" s="99">
        <f t="shared" si="23"/>
        <v>0</v>
      </c>
      <c r="N182" s="96">
        <f t="shared" ca="1" si="24"/>
        <v>0</v>
      </c>
      <c r="O182" s="97">
        <f t="shared" si="25"/>
        <v>0</v>
      </c>
      <c r="P182" s="84"/>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row>
    <row r="183" spans="2:53">
      <c r="B183" s="41"/>
      <c r="C183" s="31" t="s">
        <v>9</v>
      </c>
      <c r="D183" s="46" t="s">
        <v>353</v>
      </c>
      <c r="E183" s="47"/>
      <c r="F183" s="33"/>
      <c r="G183" s="33"/>
      <c r="H183" s="45">
        <v>1107</v>
      </c>
      <c r="I183" s="34"/>
      <c r="J183" s="26">
        <f t="shared" si="22"/>
        <v>1107</v>
      </c>
      <c r="K183" s="33"/>
      <c r="L183" s="33"/>
      <c r="M183" s="99">
        <f t="shared" si="23"/>
        <v>0</v>
      </c>
      <c r="N183" s="96">
        <f t="shared" ca="1" si="24"/>
        <v>0</v>
      </c>
      <c r="O183" s="97">
        <f t="shared" si="25"/>
        <v>0</v>
      </c>
      <c r="P183" s="84"/>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row>
    <row r="184" spans="2:53" ht="30">
      <c r="B184" s="41"/>
      <c r="C184" s="31" t="s">
        <v>9</v>
      </c>
      <c r="D184" s="46" t="s">
        <v>324</v>
      </c>
      <c r="E184" s="47"/>
      <c r="F184" s="33"/>
      <c r="G184" s="33"/>
      <c r="H184" s="45">
        <v>278.10000000000002</v>
      </c>
      <c r="I184" s="34"/>
      <c r="J184" s="26">
        <f t="shared" si="22"/>
        <v>278.10000000000002</v>
      </c>
      <c r="K184" s="33"/>
      <c r="L184" s="33"/>
      <c r="M184" s="99">
        <f t="shared" si="23"/>
        <v>0</v>
      </c>
      <c r="N184" s="96">
        <f t="shared" ca="1" si="24"/>
        <v>0</v>
      </c>
      <c r="O184" s="97">
        <f t="shared" si="25"/>
        <v>0</v>
      </c>
      <c r="P184" s="84"/>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row>
    <row r="185" spans="2:53">
      <c r="B185" s="41"/>
      <c r="C185" s="31" t="s">
        <v>9</v>
      </c>
      <c r="D185" s="46" t="s">
        <v>354</v>
      </c>
      <c r="E185" s="47"/>
      <c r="F185" s="33"/>
      <c r="G185" s="33"/>
      <c r="H185" s="45">
        <v>0</v>
      </c>
      <c r="I185" s="34"/>
      <c r="J185" s="26">
        <f t="shared" si="22"/>
        <v>0</v>
      </c>
      <c r="K185" s="33"/>
      <c r="L185" s="33"/>
      <c r="M185" s="99">
        <f t="shared" si="23"/>
        <v>0</v>
      </c>
      <c r="N185" s="96">
        <f t="shared" ca="1" si="24"/>
        <v>0</v>
      </c>
      <c r="O185" s="97">
        <f t="shared" si="25"/>
        <v>0</v>
      </c>
      <c r="P185" s="84"/>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row>
    <row r="186" spans="2:53">
      <c r="B186" s="41"/>
      <c r="C186" s="31" t="s">
        <v>9</v>
      </c>
      <c r="D186" s="46" t="s">
        <v>353</v>
      </c>
      <c r="E186" s="47"/>
      <c r="F186" s="33"/>
      <c r="G186" s="33"/>
      <c r="H186" s="45">
        <v>1107</v>
      </c>
      <c r="I186" s="34"/>
      <c r="J186" s="26">
        <f t="shared" si="22"/>
        <v>1107</v>
      </c>
      <c r="K186" s="33"/>
      <c r="L186" s="33"/>
      <c r="M186" s="99">
        <f t="shared" si="23"/>
        <v>0</v>
      </c>
      <c r="N186" s="96">
        <f t="shared" ca="1" si="24"/>
        <v>0</v>
      </c>
      <c r="O186" s="97">
        <f t="shared" si="25"/>
        <v>0</v>
      </c>
      <c r="P186" s="84"/>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row>
    <row r="187" spans="2:53" ht="30">
      <c r="B187" s="41"/>
      <c r="C187" s="31" t="s">
        <v>9</v>
      </c>
      <c r="D187" s="46" t="s">
        <v>324</v>
      </c>
      <c r="E187" s="47"/>
      <c r="F187" s="33"/>
      <c r="G187" s="33"/>
      <c r="H187" s="45">
        <v>278.10000000000002</v>
      </c>
      <c r="I187" s="34"/>
      <c r="J187" s="26">
        <f t="shared" si="22"/>
        <v>278.10000000000002</v>
      </c>
      <c r="K187" s="33"/>
      <c r="L187" s="33"/>
      <c r="M187" s="99">
        <f t="shared" si="23"/>
        <v>0</v>
      </c>
      <c r="N187" s="96">
        <f t="shared" ca="1" si="24"/>
        <v>0</v>
      </c>
      <c r="O187" s="97">
        <f t="shared" si="25"/>
        <v>0</v>
      </c>
      <c r="P187" s="84"/>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row>
    <row r="188" spans="2:53">
      <c r="B188" s="41">
        <v>3.17</v>
      </c>
      <c r="C188" s="31" t="s">
        <v>9</v>
      </c>
      <c r="D188" s="46" t="s">
        <v>355</v>
      </c>
      <c r="E188" s="47"/>
      <c r="F188" s="33"/>
      <c r="G188" s="33"/>
      <c r="H188" s="45">
        <v>0</v>
      </c>
      <c r="I188" s="34"/>
      <c r="J188" s="26">
        <f t="shared" si="22"/>
        <v>0</v>
      </c>
      <c r="K188" s="33"/>
      <c r="L188" s="33"/>
      <c r="M188" s="99">
        <f t="shared" si="23"/>
        <v>0</v>
      </c>
      <c r="N188" s="96">
        <f t="shared" ca="1" si="24"/>
        <v>0</v>
      </c>
      <c r="O188" s="97">
        <f t="shared" si="25"/>
        <v>0</v>
      </c>
      <c r="P188" s="84"/>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row>
    <row r="189" spans="2:53">
      <c r="B189" s="41"/>
      <c r="C189" s="31" t="s">
        <v>9</v>
      </c>
      <c r="D189" s="46" t="s">
        <v>356</v>
      </c>
      <c r="E189" s="47"/>
      <c r="F189" s="33"/>
      <c r="G189" s="33"/>
      <c r="H189" s="45">
        <v>237.79999999999998</v>
      </c>
      <c r="I189" s="34"/>
      <c r="J189" s="26">
        <f t="shared" si="22"/>
        <v>237.79999999999998</v>
      </c>
      <c r="K189" s="33"/>
      <c r="L189" s="33"/>
      <c r="M189" s="99">
        <f t="shared" si="23"/>
        <v>0</v>
      </c>
      <c r="N189" s="96">
        <f t="shared" ca="1" si="24"/>
        <v>0</v>
      </c>
      <c r="O189" s="97">
        <f t="shared" si="25"/>
        <v>0</v>
      </c>
      <c r="P189" s="84"/>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row>
    <row r="190" spans="2:53" ht="30">
      <c r="B190" s="41"/>
      <c r="C190" s="31" t="s">
        <v>9</v>
      </c>
      <c r="D190" s="46" t="s">
        <v>324</v>
      </c>
      <c r="E190" s="47"/>
      <c r="F190" s="33"/>
      <c r="G190" s="33"/>
      <c r="H190" s="45">
        <v>59.74</v>
      </c>
      <c r="I190" s="34"/>
      <c r="J190" s="26">
        <f t="shared" si="22"/>
        <v>59.74</v>
      </c>
      <c r="K190" s="33"/>
      <c r="L190" s="33"/>
      <c r="M190" s="99">
        <f t="shared" si="23"/>
        <v>0</v>
      </c>
      <c r="N190" s="96">
        <f t="shared" ca="1" si="24"/>
        <v>0</v>
      </c>
      <c r="O190" s="97">
        <f t="shared" si="25"/>
        <v>0</v>
      </c>
      <c r="P190" s="84"/>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row>
    <row r="191" spans="2:53">
      <c r="B191" s="41">
        <v>3.18</v>
      </c>
      <c r="C191" s="31" t="s">
        <v>9</v>
      </c>
      <c r="D191" s="46" t="s">
        <v>357</v>
      </c>
      <c r="E191" s="47"/>
      <c r="F191" s="33"/>
      <c r="G191" s="33"/>
      <c r="H191" s="45">
        <v>0</v>
      </c>
      <c r="I191" s="34"/>
      <c r="J191" s="26">
        <f t="shared" si="22"/>
        <v>0</v>
      </c>
      <c r="K191" s="33"/>
      <c r="L191" s="33"/>
      <c r="M191" s="99">
        <f t="shared" si="23"/>
        <v>0</v>
      </c>
      <c r="N191" s="96">
        <f t="shared" ca="1" si="24"/>
        <v>0</v>
      </c>
      <c r="O191" s="97">
        <f t="shared" si="25"/>
        <v>0</v>
      </c>
      <c r="P191" s="84"/>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row>
    <row r="192" spans="2:53">
      <c r="B192" s="41"/>
      <c r="C192" s="31" t="s">
        <v>9</v>
      </c>
      <c r="D192" s="46" t="s">
        <v>356</v>
      </c>
      <c r="E192" s="47"/>
      <c r="F192" s="33"/>
      <c r="G192" s="33"/>
      <c r="H192" s="45">
        <v>237.79999999999998</v>
      </c>
      <c r="I192" s="34"/>
      <c r="J192" s="26">
        <f t="shared" si="22"/>
        <v>237.79999999999998</v>
      </c>
      <c r="K192" s="33"/>
      <c r="L192" s="33"/>
      <c r="M192" s="99">
        <f t="shared" si="23"/>
        <v>0</v>
      </c>
      <c r="N192" s="96">
        <f t="shared" ca="1" si="24"/>
        <v>0</v>
      </c>
      <c r="O192" s="97">
        <f t="shared" si="25"/>
        <v>0</v>
      </c>
      <c r="P192" s="84"/>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row>
    <row r="193" spans="2:53" ht="30">
      <c r="B193" s="41"/>
      <c r="C193" s="31" t="s">
        <v>9</v>
      </c>
      <c r="D193" s="46" t="s">
        <v>358</v>
      </c>
      <c r="E193" s="47"/>
      <c r="F193" s="33"/>
      <c r="G193" s="33"/>
      <c r="H193" s="45">
        <v>59.74</v>
      </c>
      <c r="I193" s="34"/>
      <c r="J193" s="26">
        <f t="shared" si="22"/>
        <v>59.74</v>
      </c>
      <c r="K193" s="33"/>
      <c r="L193" s="33"/>
      <c r="M193" s="99">
        <f t="shared" si="23"/>
        <v>0</v>
      </c>
      <c r="N193" s="96">
        <f t="shared" ca="1" si="24"/>
        <v>0</v>
      </c>
      <c r="O193" s="97">
        <f t="shared" si="25"/>
        <v>0</v>
      </c>
      <c r="P193" s="84"/>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row>
    <row r="194" spans="2:53">
      <c r="B194" s="41">
        <v>3.19</v>
      </c>
      <c r="C194" s="31" t="s">
        <v>9</v>
      </c>
      <c r="D194" s="46" t="s">
        <v>359</v>
      </c>
      <c r="E194" s="47"/>
      <c r="F194" s="33"/>
      <c r="G194" s="33"/>
      <c r="H194" s="45">
        <v>0</v>
      </c>
      <c r="I194" s="34"/>
      <c r="J194" s="26">
        <f t="shared" si="22"/>
        <v>0</v>
      </c>
      <c r="K194" s="33"/>
      <c r="L194" s="33"/>
      <c r="M194" s="99">
        <f t="shared" si="23"/>
        <v>0</v>
      </c>
      <c r="N194" s="96">
        <f t="shared" ca="1" si="24"/>
        <v>0</v>
      </c>
      <c r="O194" s="97">
        <f t="shared" si="25"/>
        <v>0</v>
      </c>
      <c r="P194" s="84"/>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row>
    <row r="195" spans="2:53">
      <c r="B195" s="41"/>
      <c r="C195" s="31" t="s">
        <v>9</v>
      </c>
      <c r="D195" s="46" t="s">
        <v>360</v>
      </c>
      <c r="E195" s="47"/>
      <c r="F195" s="33"/>
      <c r="G195" s="33"/>
      <c r="H195" s="45">
        <v>282.89999999999998</v>
      </c>
      <c r="I195" s="34"/>
      <c r="J195" s="26">
        <f t="shared" si="22"/>
        <v>282.89999999999998</v>
      </c>
      <c r="K195" s="33"/>
      <c r="L195" s="33"/>
      <c r="M195" s="99">
        <f t="shared" si="23"/>
        <v>0</v>
      </c>
      <c r="N195" s="96">
        <f t="shared" ca="1" si="24"/>
        <v>0</v>
      </c>
      <c r="O195" s="97">
        <f t="shared" si="25"/>
        <v>0</v>
      </c>
      <c r="P195" s="84"/>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row>
    <row r="196" spans="2:53" ht="30">
      <c r="B196" s="41"/>
      <c r="C196" s="31" t="s">
        <v>9</v>
      </c>
      <c r="D196" s="46" t="s">
        <v>324</v>
      </c>
      <c r="E196" s="47"/>
      <c r="F196" s="33"/>
      <c r="G196" s="33"/>
      <c r="H196" s="45">
        <v>71.070000000000007</v>
      </c>
      <c r="I196" s="34"/>
      <c r="J196" s="26">
        <f t="shared" si="22"/>
        <v>71.070000000000007</v>
      </c>
      <c r="K196" s="33"/>
      <c r="L196" s="33"/>
      <c r="M196" s="99">
        <f t="shared" si="23"/>
        <v>0</v>
      </c>
      <c r="N196" s="96">
        <f t="shared" ca="1" si="24"/>
        <v>0</v>
      </c>
      <c r="O196" s="97">
        <f t="shared" si="25"/>
        <v>0</v>
      </c>
      <c r="P196" s="84"/>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row>
    <row r="197" spans="2:53">
      <c r="B197" s="41">
        <v>3.2</v>
      </c>
      <c r="C197" s="31" t="s">
        <v>9</v>
      </c>
      <c r="D197" s="46" t="s">
        <v>361</v>
      </c>
      <c r="E197" s="47"/>
      <c r="F197" s="33"/>
      <c r="G197" s="33"/>
      <c r="H197" s="45">
        <v>0</v>
      </c>
      <c r="I197" s="34"/>
      <c r="J197" s="26">
        <f t="shared" si="22"/>
        <v>0</v>
      </c>
      <c r="K197" s="33"/>
      <c r="L197" s="33"/>
      <c r="M197" s="99">
        <f t="shared" si="23"/>
        <v>0</v>
      </c>
      <c r="N197" s="96">
        <f t="shared" ca="1" si="24"/>
        <v>0</v>
      </c>
      <c r="O197" s="97">
        <f t="shared" si="25"/>
        <v>0</v>
      </c>
      <c r="P197" s="84"/>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row>
    <row r="198" spans="2:53">
      <c r="B198" s="41"/>
      <c r="C198" s="31" t="s">
        <v>9</v>
      </c>
      <c r="D198" s="46" t="s">
        <v>362</v>
      </c>
      <c r="E198" s="47"/>
      <c r="F198" s="33"/>
      <c r="G198" s="33"/>
      <c r="H198" s="45">
        <v>213.2</v>
      </c>
      <c r="I198" s="34"/>
      <c r="J198" s="26">
        <f t="shared" si="22"/>
        <v>213.2</v>
      </c>
      <c r="K198" s="33"/>
      <c r="L198" s="33"/>
      <c r="M198" s="99">
        <f t="shared" si="23"/>
        <v>0</v>
      </c>
      <c r="N198" s="96">
        <f t="shared" ca="1" si="24"/>
        <v>0</v>
      </c>
      <c r="O198" s="97">
        <f t="shared" si="25"/>
        <v>0</v>
      </c>
      <c r="P198" s="84"/>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row>
    <row r="199" spans="2:53" ht="30">
      <c r="B199" s="41"/>
      <c r="C199" s="31" t="s">
        <v>9</v>
      </c>
      <c r="D199" s="46" t="s">
        <v>324</v>
      </c>
      <c r="E199" s="47"/>
      <c r="F199" s="33"/>
      <c r="G199" s="33"/>
      <c r="H199" s="45">
        <v>53.56</v>
      </c>
      <c r="I199" s="34"/>
      <c r="J199" s="26">
        <f t="shared" si="22"/>
        <v>53.56</v>
      </c>
      <c r="K199" s="33"/>
      <c r="L199" s="33"/>
      <c r="M199" s="99">
        <f t="shared" si="23"/>
        <v>0</v>
      </c>
      <c r="N199" s="96">
        <f t="shared" ca="1" si="24"/>
        <v>0</v>
      </c>
      <c r="O199" s="97">
        <f t="shared" si="25"/>
        <v>0</v>
      </c>
      <c r="P199" s="84"/>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row>
    <row r="200" spans="2:53">
      <c r="B200" s="41">
        <v>3.21</v>
      </c>
      <c r="C200" s="31" t="s">
        <v>9</v>
      </c>
      <c r="D200" s="46" t="s">
        <v>363</v>
      </c>
      <c r="E200" s="47"/>
      <c r="F200" s="33"/>
      <c r="G200" s="33"/>
      <c r="H200" s="45">
        <v>0</v>
      </c>
      <c r="I200" s="34"/>
      <c r="J200" s="26">
        <f t="shared" si="22"/>
        <v>0</v>
      </c>
      <c r="K200" s="33"/>
      <c r="L200" s="33"/>
      <c r="M200" s="99">
        <f t="shared" si="23"/>
        <v>0</v>
      </c>
      <c r="N200" s="96">
        <f t="shared" ca="1" si="24"/>
        <v>0</v>
      </c>
      <c r="O200" s="97">
        <f t="shared" si="25"/>
        <v>0</v>
      </c>
      <c r="P200" s="84"/>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row>
    <row r="201" spans="2:53">
      <c r="B201" s="41"/>
      <c r="C201" s="31" t="s">
        <v>9</v>
      </c>
      <c r="D201" s="46" t="s">
        <v>364</v>
      </c>
      <c r="E201" s="47"/>
      <c r="F201" s="33"/>
      <c r="G201" s="33"/>
      <c r="H201" s="45">
        <v>168.1</v>
      </c>
      <c r="I201" s="34"/>
      <c r="J201" s="26">
        <f t="shared" si="22"/>
        <v>168.1</v>
      </c>
      <c r="K201" s="33"/>
      <c r="L201" s="33"/>
      <c r="M201" s="99">
        <f t="shared" si="23"/>
        <v>0</v>
      </c>
      <c r="N201" s="96">
        <f t="shared" ca="1" si="24"/>
        <v>0</v>
      </c>
      <c r="O201" s="97">
        <f t="shared" si="25"/>
        <v>0</v>
      </c>
      <c r="P201" s="84"/>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row>
    <row r="202" spans="2:53" ht="30">
      <c r="B202" s="41"/>
      <c r="C202" s="31" t="s">
        <v>9</v>
      </c>
      <c r="D202" s="46" t="s">
        <v>324</v>
      </c>
      <c r="E202" s="47"/>
      <c r="F202" s="33"/>
      <c r="G202" s="33"/>
      <c r="H202" s="45">
        <v>42.230000000000004</v>
      </c>
      <c r="I202" s="34"/>
      <c r="J202" s="26">
        <f t="shared" si="22"/>
        <v>42.230000000000004</v>
      </c>
      <c r="K202" s="33"/>
      <c r="L202" s="33"/>
      <c r="M202" s="99">
        <f t="shared" si="23"/>
        <v>0</v>
      </c>
      <c r="N202" s="96">
        <f t="shared" ca="1" si="24"/>
        <v>0</v>
      </c>
      <c r="O202" s="97">
        <f t="shared" si="25"/>
        <v>0</v>
      </c>
      <c r="P202" s="84"/>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row>
    <row r="203" spans="2:53">
      <c r="B203" s="41">
        <v>3.21</v>
      </c>
      <c r="C203" s="31" t="s">
        <v>9</v>
      </c>
      <c r="D203" s="46" t="s">
        <v>365</v>
      </c>
      <c r="E203" s="47"/>
      <c r="F203" s="33"/>
      <c r="G203" s="33"/>
      <c r="H203" s="45">
        <v>0</v>
      </c>
      <c r="I203" s="34"/>
      <c r="J203" s="26">
        <f t="shared" si="22"/>
        <v>0</v>
      </c>
      <c r="K203" s="33"/>
      <c r="L203" s="33"/>
      <c r="M203" s="99">
        <f t="shared" si="23"/>
        <v>0</v>
      </c>
      <c r="N203" s="96">
        <f t="shared" ca="1" si="24"/>
        <v>0</v>
      </c>
      <c r="O203" s="97">
        <f t="shared" si="25"/>
        <v>0</v>
      </c>
      <c r="P203" s="84"/>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row>
    <row r="204" spans="2:53" ht="45">
      <c r="B204" s="41"/>
      <c r="C204" s="31" t="s">
        <v>9</v>
      </c>
      <c r="D204" s="46" t="s">
        <v>370</v>
      </c>
      <c r="E204" s="47"/>
      <c r="F204" s="33"/>
      <c r="G204" s="33"/>
      <c r="H204" s="45">
        <v>28023.499999999996</v>
      </c>
      <c r="I204" s="34"/>
      <c r="J204" s="26">
        <f t="shared" si="22"/>
        <v>28023.499999999996</v>
      </c>
      <c r="K204" s="33"/>
      <c r="L204" s="33"/>
      <c r="M204" s="99">
        <f t="shared" si="23"/>
        <v>0</v>
      </c>
      <c r="N204" s="96">
        <f t="shared" ca="1" si="24"/>
        <v>0</v>
      </c>
      <c r="O204" s="97">
        <f t="shared" si="25"/>
        <v>0</v>
      </c>
      <c r="P204" s="84"/>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row>
    <row r="205" spans="2:53" ht="30">
      <c r="B205" s="41"/>
      <c r="C205" s="31" t="s">
        <v>9</v>
      </c>
      <c r="D205" s="46" t="s">
        <v>324</v>
      </c>
      <c r="E205" s="47"/>
      <c r="F205" s="33"/>
      <c r="G205" s="33"/>
      <c r="H205" s="45">
        <v>7040.05</v>
      </c>
      <c r="I205" s="34"/>
      <c r="J205" s="26">
        <f t="shared" si="22"/>
        <v>7040.05</v>
      </c>
      <c r="K205" s="33"/>
      <c r="L205" s="33"/>
      <c r="M205" s="99">
        <f t="shared" si="23"/>
        <v>0</v>
      </c>
      <c r="N205" s="96">
        <f t="shared" ca="1" si="24"/>
        <v>0</v>
      </c>
      <c r="O205" s="97">
        <f t="shared" si="25"/>
        <v>0</v>
      </c>
      <c r="P205" s="84"/>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row>
    <row r="206" spans="2:53">
      <c r="B206" s="41" t="s">
        <v>385</v>
      </c>
      <c r="C206" s="31" t="s">
        <v>9</v>
      </c>
      <c r="D206" s="46" t="s">
        <v>398</v>
      </c>
      <c r="E206" s="47"/>
      <c r="F206" s="33"/>
      <c r="G206" s="33"/>
      <c r="H206" s="45">
        <v>6182</v>
      </c>
      <c r="I206" s="34"/>
      <c r="J206" s="26">
        <f t="shared" si="22"/>
        <v>6182</v>
      </c>
      <c r="K206" s="33"/>
      <c r="L206" s="33"/>
      <c r="M206" s="99">
        <f t="shared" si="23"/>
        <v>0</v>
      </c>
      <c r="N206" s="96">
        <f t="shared" ca="1" si="24"/>
        <v>0</v>
      </c>
      <c r="O206" s="97">
        <f t="shared" si="25"/>
        <v>0</v>
      </c>
      <c r="P206" s="84"/>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row>
    <row r="207" spans="2:53">
      <c r="B207" s="41" t="s">
        <v>386</v>
      </c>
      <c r="C207" s="31" t="s">
        <v>9</v>
      </c>
      <c r="D207" s="46" t="s">
        <v>399</v>
      </c>
      <c r="E207" s="47"/>
      <c r="F207" s="33"/>
      <c r="G207" s="33"/>
      <c r="H207" s="45">
        <v>1622.4</v>
      </c>
      <c r="I207" s="34"/>
      <c r="J207" s="26">
        <f t="shared" si="22"/>
        <v>1622.4</v>
      </c>
      <c r="K207" s="33"/>
      <c r="L207" s="33"/>
      <c r="M207" s="99">
        <f t="shared" si="23"/>
        <v>0</v>
      </c>
      <c r="N207" s="96">
        <f t="shared" ca="1" si="24"/>
        <v>0</v>
      </c>
      <c r="O207" s="97">
        <f t="shared" si="25"/>
        <v>0</v>
      </c>
      <c r="P207" s="84"/>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row>
    <row r="208" spans="2:53">
      <c r="B208" s="41" t="s">
        <v>387</v>
      </c>
      <c r="C208" s="31" t="s">
        <v>9</v>
      </c>
      <c r="D208" s="46" t="s">
        <v>400</v>
      </c>
      <c r="E208" s="47"/>
      <c r="F208" s="33"/>
      <c r="G208" s="33"/>
      <c r="H208" s="45">
        <v>1924</v>
      </c>
      <c r="I208" s="34"/>
      <c r="J208" s="26">
        <f t="shared" si="22"/>
        <v>1924</v>
      </c>
      <c r="K208" s="33"/>
      <c r="L208" s="33"/>
      <c r="M208" s="99">
        <f t="shared" si="23"/>
        <v>0</v>
      </c>
      <c r="N208" s="96">
        <f t="shared" ca="1" si="24"/>
        <v>0</v>
      </c>
      <c r="O208" s="97">
        <f t="shared" si="25"/>
        <v>0</v>
      </c>
      <c r="P208" s="84"/>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row>
    <row r="209" spans="2:53">
      <c r="B209" s="41" t="s">
        <v>388</v>
      </c>
      <c r="C209" s="31" t="s">
        <v>9</v>
      </c>
      <c r="D209" s="46" t="s">
        <v>401</v>
      </c>
      <c r="E209" s="47"/>
      <c r="F209" s="33"/>
      <c r="G209" s="33"/>
      <c r="H209" s="45">
        <v>6136</v>
      </c>
      <c r="I209" s="34"/>
      <c r="J209" s="26">
        <f t="shared" si="22"/>
        <v>6136</v>
      </c>
      <c r="K209" s="33"/>
      <c r="L209" s="33"/>
      <c r="M209" s="99">
        <f t="shared" si="23"/>
        <v>0</v>
      </c>
      <c r="N209" s="96">
        <f t="shared" ca="1" si="24"/>
        <v>0</v>
      </c>
      <c r="O209" s="97">
        <f t="shared" si="25"/>
        <v>0</v>
      </c>
      <c r="P209" s="84"/>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row>
    <row r="210" spans="2:53">
      <c r="B210" s="41" t="s">
        <v>389</v>
      </c>
      <c r="C210" s="31" t="s">
        <v>9</v>
      </c>
      <c r="D210" s="46" t="s">
        <v>415</v>
      </c>
      <c r="E210" s="47"/>
      <c r="F210" s="33"/>
      <c r="G210" s="33"/>
      <c r="H210" s="45">
        <v>2236</v>
      </c>
      <c r="I210" s="34"/>
      <c r="J210" s="26">
        <f t="shared" ref="J210:J273" si="26">H210-I210</f>
        <v>2236</v>
      </c>
      <c r="K210" s="33"/>
      <c r="L210" s="33"/>
      <c r="M210" s="99">
        <f t="shared" ref="M210:M273" si="27">DATEDIF(K210,L210,"d")</f>
        <v>0</v>
      </c>
      <c r="N210" s="96">
        <f t="shared" ref="N210:N273" ca="1" si="28">MIN(DATEDIF(K210, $L$4, "d"), M210)</f>
        <v>0</v>
      </c>
      <c r="O210" s="97">
        <f t="shared" ref="O210:O273" si="29">IF(M210=0, 0, MIN(N210/M210, 1))</f>
        <v>0</v>
      </c>
      <c r="P210" s="84"/>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row>
    <row r="211" spans="2:53">
      <c r="B211" s="41" t="s">
        <v>390</v>
      </c>
      <c r="C211" s="31" t="s">
        <v>9</v>
      </c>
      <c r="D211" s="46" t="s">
        <v>416</v>
      </c>
      <c r="E211" s="47"/>
      <c r="F211" s="33"/>
      <c r="G211" s="33"/>
      <c r="H211" s="45">
        <v>2417</v>
      </c>
      <c r="I211" s="34"/>
      <c r="J211" s="26">
        <f t="shared" si="26"/>
        <v>2417</v>
      </c>
      <c r="K211" s="33"/>
      <c r="L211" s="33"/>
      <c r="M211" s="99">
        <f t="shared" si="27"/>
        <v>0</v>
      </c>
      <c r="N211" s="96">
        <f t="shared" ca="1" si="28"/>
        <v>0</v>
      </c>
      <c r="O211" s="97">
        <f t="shared" si="29"/>
        <v>0</v>
      </c>
      <c r="P211" s="84"/>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row>
    <row r="212" spans="2:53">
      <c r="B212" s="41" t="s">
        <v>391</v>
      </c>
      <c r="C212" s="31" t="s">
        <v>9</v>
      </c>
      <c r="D212" s="46" t="s">
        <v>402</v>
      </c>
      <c r="E212" s="47"/>
      <c r="F212" s="33"/>
      <c r="G212" s="33"/>
      <c r="H212" s="45">
        <v>260</v>
      </c>
      <c r="I212" s="34"/>
      <c r="J212" s="26">
        <f t="shared" si="26"/>
        <v>260</v>
      </c>
      <c r="K212" s="33"/>
      <c r="L212" s="33"/>
      <c r="M212" s="99">
        <f t="shared" si="27"/>
        <v>0</v>
      </c>
      <c r="N212" s="96">
        <f t="shared" ca="1" si="28"/>
        <v>0</v>
      </c>
      <c r="O212" s="97">
        <f t="shared" si="29"/>
        <v>0</v>
      </c>
      <c r="P212" s="84"/>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row>
    <row r="213" spans="2:53">
      <c r="B213" s="41" t="s">
        <v>392</v>
      </c>
      <c r="C213" s="31" t="s">
        <v>9</v>
      </c>
      <c r="D213" s="46" t="s">
        <v>403</v>
      </c>
      <c r="E213" s="47"/>
      <c r="F213" s="33"/>
      <c r="G213" s="33"/>
      <c r="H213" s="45">
        <v>624</v>
      </c>
      <c r="I213" s="34"/>
      <c r="J213" s="26">
        <f t="shared" si="26"/>
        <v>624</v>
      </c>
      <c r="K213" s="33"/>
      <c r="L213" s="33"/>
      <c r="M213" s="99">
        <f t="shared" si="27"/>
        <v>0</v>
      </c>
      <c r="N213" s="96">
        <f t="shared" ca="1" si="28"/>
        <v>0</v>
      </c>
      <c r="O213" s="97">
        <f t="shared" si="29"/>
        <v>0</v>
      </c>
      <c r="P213" s="84"/>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row>
    <row r="214" spans="2:53">
      <c r="B214" s="41"/>
      <c r="C214" s="31" t="s">
        <v>9</v>
      </c>
      <c r="D214" s="46" t="s">
        <v>404</v>
      </c>
      <c r="E214" s="47"/>
      <c r="F214" s="33"/>
      <c r="G214" s="33"/>
      <c r="H214" s="45">
        <v>676</v>
      </c>
      <c r="I214" s="34"/>
      <c r="J214" s="26">
        <f t="shared" si="26"/>
        <v>676</v>
      </c>
      <c r="K214" s="33"/>
      <c r="L214" s="33"/>
      <c r="M214" s="99">
        <f t="shared" si="27"/>
        <v>0</v>
      </c>
      <c r="N214" s="96">
        <f t="shared" ca="1" si="28"/>
        <v>0</v>
      </c>
      <c r="O214" s="97">
        <f t="shared" si="29"/>
        <v>0</v>
      </c>
      <c r="P214" s="84"/>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row>
    <row r="215" spans="2:53">
      <c r="B215" s="41"/>
      <c r="C215" s="31" t="s">
        <v>9</v>
      </c>
      <c r="D215" s="46" t="s">
        <v>405</v>
      </c>
      <c r="E215" s="47"/>
      <c r="F215" s="33"/>
      <c r="G215" s="33"/>
      <c r="H215" s="45">
        <v>400</v>
      </c>
      <c r="I215" s="34"/>
      <c r="J215" s="26">
        <f t="shared" si="26"/>
        <v>400</v>
      </c>
      <c r="K215" s="33"/>
      <c r="L215" s="33"/>
      <c r="M215" s="99">
        <f t="shared" si="27"/>
        <v>0</v>
      </c>
      <c r="N215" s="96">
        <f t="shared" ca="1" si="28"/>
        <v>0</v>
      </c>
      <c r="O215" s="97">
        <f t="shared" si="29"/>
        <v>0</v>
      </c>
      <c r="P215" s="84"/>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row>
    <row r="216" spans="2:53">
      <c r="B216" s="41" t="s">
        <v>393</v>
      </c>
      <c r="C216" s="31" t="s">
        <v>9</v>
      </c>
      <c r="D216" s="46" t="s">
        <v>406</v>
      </c>
      <c r="E216" s="47"/>
      <c r="F216" s="33"/>
      <c r="G216" s="33"/>
      <c r="H216" s="45">
        <v>1372.8</v>
      </c>
      <c r="I216" s="34"/>
      <c r="J216" s="26">
        <f t="shared" si="26"/>
        <v>1372.8</v>
      </c>
      <c r="K216" s="33"/>
      <c r="L216" s="33"/>
      <c r="M216" s="99">
        <f t="shared" si="27"/>
        <v>0</v>
      </c>
      <c r="N216" s="96">
        <f t="shared" ca="1" si="28"/>
        <v>0</v>
      </c>
      <c r="O216" s="97">
        <f t="shared" si="29"/>
        <v>0</v>
      </c>
      <c r="P216" s="84"/>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row>
    <row r="217" spans="2:53">
      <c r="B217" s="41" t="s">
        <v>394</v>
      </c>
      <c r="C217" s="31" t="s">
        <v>9</v>
      </c>
      <c r="D217" s="46" t="s">
        <v>407</v>
      </c>
      <c r="E217" s="47"/>
      <c r="F217" s="33"/>
      <c r="G217" s="33"/>
      <c r="H217" s="45">
        <v>314.49600000000004</v>
      </c>
      <c r="I217" s="34"/>
      <c r="J217" s="26">
        <f t="shared" si="26"/>
        <v>314.49600000000004</v>
      </c>
      <c r="K217" s="33"/>
      <c r="L217" s="33"/>
      <c r="M217" s="99">
        <f t="shared" si="27"/>
        <v>0</v>
      </c>
      <c r="N217" s="96">
        <f t="shared" ca="1" si="28"/>
        <v>0</v>
      </c>
      <c r="O217" s="97">
        <f t="shared" si="29"/>
        <v>0</v>
      </c>
      <c r="P217" s="84"/>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row>
    <row r="218" spans="2:53">
      <c r="B218" s="41"/>
      <c r="C218" s="31" t="s">
        <v>9</v>
      </c>
      <c r="D218" s="46" t="s">
        <v>408</v>
      </c>
      <c r="E218" s="47"/>
      <c r="F218" s="33"/>
      <c r="G218" s="33"/>
      <c r="H218" s="45">
        <v>174.72</v>
      </c>
      <c r="I218" s="34"/>
      <c r="J218" s="26">
        <f t="shared" si="26"/>
        <v>174.72</v>
      </c>
      <c r="K218" s="33"/>
      <c r="L218" s="33"/>
      <c r="M218" s="99">
        <f t="shared" si="27"/>
        <v>0</v>
      </c>
      <c r="N218" s="96">
        <f t="shared" ca="1" si="28"/>
        <v>0</v>
      </c>
      <c r="O218" s="97">
        <f t="shared" si="29"/>
        <v>0</v>
      </c>
      <c r="P218" s="84"/>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row>
    <row r="219" spans="2:53">
      <c r="B219" s="41"/>
      <c r="C219" s="31" t="s">
        <v>9</v>
      </c>
      <c r="D219" s="46" t="s">
        <v>409</v>
      </c>
      <c r="E219" s="47"/>
      <c r="F219" s="33"/>
      <c r="G219" s="33"/>
      <c r="H219" s="45">
        <v>116.48</v>
      </c>
      <c r="I219" s="34"/>
      <c r="J219" s="26">
        <f t="shared" si="26"/>
        <v>116.48</v>
      </c>
      <c r="K219" s="33"/>
      <c r="L219" s="33"/>
      <c r="M219" s="99">
        <f t="shared" si="27"/>
        <v>0</v>
      </c>
      <c r="N219" s="96">
        <f t="shared" ca="1" si="28"/>
        <v>0</v>
      </c>
      <c r="O219" s="97">
        <f t="shared" si="29"/>
        <v>0</v>
      </c>
      <c r="P219" s="84"/>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row>
    <row r="220" spans="2:53">
      <c r="B220" s="41" t="s">
        <v>395</v>
      </c>
      <c r="C220" s="31" t="s">
        <v>9</v>
      </c>
      <c r="D220" s="46" t="s">
        <v>410</v>
      </c>
      <c r="E220" s="47"/>
      <c r="F220" s="33"/>
      <c r="G220" s="33"/>
      <c r="H220" s="45">
        <v>2912</v>
      </c>
      <c r="I220" s="34"/>
      <c r="J220" s="26">
        <f t="shared" si="26"/>
        <v>2912</v>
      </c>
      <c r="K220" s="33"/>
      <c r="L220" s="33"/>
      <c r="M220" s="99">
        <f t="shared" si="27"/>
        <v>0</v>
      </c>
      <c r="N220" s="96">
        <f t="shared" ca="1" si="28"/>
        <v>0</v>
      </c>
      <c r="O220" s="97">
        <f t="shared" si="29"/>
        <v>0</v>
      </c>
      <c r="P220" s="84"/>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row>
    <row r="221" spans="2:53">
      <c r="B221" s="41" t="s">
        <v>396</v>
      </c>
      <c r="C221" s="31" t="s">
        <v>9</v>
      </c>
      <c r="D221" s="46" t="s">
        <v>411</v>
      </c>
      <c r="E221" s="47"/>
      <c r="F221" s="33"/>
      <c r="G221" s="33"/>
      <c r="H221" s="45">
        <v>4992</v>
      </c>
      <c r="I221" s="34"/>
      <c r="J221" s="26">
        <f t="shared" si="26"/>
        <v>4992</v>
      </c>
      <c r="K221" s="33"/>
      <c r="L221" s="33"/>
      <c r="M221" s="99">
        <f t="shared" si="27"/>
        <v>0</v>
      </c>
      <c r="N221" s="96">
        <f t="shared" ca="1" si="28"/>
        <v>0</v>
      </c>
      <c r="O221" s="97">
        <f t="shared" si="29"/>
        <v>0</v>
      </c>
      <c r="P221" s="84"/>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row>
    <row r="222" spans="2:53">
      <c r="B222" s="41" t="s">
        <v>396</v>
      </c>
      <c r="C222" s="31" t="s">
        <v>9</v>
      </c>
      <c r="D222" s="46" t="s">
        <v>412</v>
      </c>
      <c r="E222" s="47"/>
      <c r="F222" s="33"/>
      <c r="G222" s="33"/>
      <c r="H222" s="45">
        <v>4992</v>
      </c>
      <c r="I222" s="34"/>
      <c r="J222" s="26">
        <f t="shared" si="26"/>
        <v>4992</v>
      </c>
      <c r="K222" s="33"/>
      <c r="L222" s="33"/>
      <c r="M222" s="99">
        <f t="shared" si="27"/>
        <v>0</v>
      </c>
      <c r="N222" s="96">
        <f t="shared" ca="1" si="28"/>
        <v>0</v>
      </c>
      <c r="O222" s="97">
        <f t="shared" si="29"/>
        <v>0</v>
      </c>
      <c r="P222" s="84"/>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row>
    <row r="223" spans="2:53">
      <c r="B223" s="41" t="s">
        <v>397</v>
      </c>
      <c r="C223" s="31" t="s">
        <v>9</v>
      </c>
      <c r="D223" s="46" t="s">
        <v>413</v>
      </c>
      <c r="E223" s="47"/>
      <c r="F223" s="33"/>
      <c r="G223" s="33"/>
      <c r="H223" s="45">
        <v>1600</v>
      </c>
      <c r="I223" s="34"/>
      <c r="J223" s="26">
        <f t="shared" si="26"/>
        <v>1600</v>
      </c>
      <c r="K223" s="33"/>
      <c r="L223" s="33"/>
      <c r="M223" s="99">
        <f t="shared" si="27"/>
        <v>0</v>
      </c>
      <c r="N223" s="96">
        <f t="shared" ca="1" si="28"/>
        <v>0</v>
      </c>
      <c r="O223" s="97">
        <f t="shared" si="29"/>
        <v>0</v>
      </c>
      <c r="P223" s="84"/>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row>
    <row r="224" spans="2:53">
      <c r="B224" s="41">
        <v>4.16</v>
      </c>
      <c r="C224" s="31" t="s">
        <v>9</v>
      </c>
      <c r="D224" s="46" t="s">
        <v>414</v>
      </c>
      <c r="E224" s="47"/>
      <c r="F224" s="33"/>
      <c r="G224" s="33"/>
      <c r="H224" s="45">
        <v>8158</v>
      </c>
      <c r="I224" s="34"/>
      <c r="J224" s="26">
        <f t="shared" si="26"/>
        <v>8158</v>
      </c>
      <c r="K224" s="33"/>
      <c r="L224" s="33"/>
      <c r="M224" s="99">
        <f t="shared" si="27"/>
        <v>0</v>
      </c>
      <c r="N224" s="96">
        <f t="shared" ca="1" si="28"/>
        <v>0</v>
      </c>
      <c r="O224" s="97">
        <f t="shared" si="29"/>
        <v>0</v>
      </c>
      <c r="P224" s="84"/>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row>
    <row r="225" spans="2:53" ht="30">
      <c r="B225" s="41" t="s">
        <v>417</v>
      </c>
      <c r="C225" s="31" t="s">
        <v>9</v>
      </c>
      <c r="D225" s="46" t="s">
        <v>502</v>
      </c>
      <c r="E225" s="47"/>
      <c r="F225" s="33"/>
      <c r="G225" s="33"/>
      <c r="H225" s="45">
        <v>3077</v>
      </c>
      <c r="I225" s="34"/>
      <c r="J225" s="26">
        <f t="shared" si="26"/>
        <v>3077</v>
      </c>
      <c r="K225" s="33"/>
      <c r="L225" s="33"/>
      <c r="M225" s="99">
        <f t="shared" si="27"/>
        <v>0</v>
      </c>
      <c r="N225" s="96">
        <f t="shared" ca="1" si="28"/>
        <v>0</v>
      </c>
      <c r="O225" s="97">
        <f t="shared" si="29"/>
        <v>0</v>
      </c>
      <c r="P225" s="84"/>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row>
    <row r="226" spans="2:53">
      <c r="B226" s="41"/>
      <c r="C226" s="31" t="s">
        <v>9</v>
      </c>
      <c r="D226" s="46" t="s">
        <v>437</v>
      </c>
      <c r="E226" s="47"/>
      <c r="F226" s="33"/>
      <c r="G226" s="33"/>
      <c r="H226" s="45">
        <v>936</v>
      </c>
      <c r="I226" s="34"/>
      <c r="J226" s="26">
        <f t="shared" si="26"/>
        <v>936</v>
      </c>
      <c r="K226" s="33"/>
      <c r="L226" s="33"/>
      <c r="M226" s="99">
        <f t="shared" si="27"/>
        <v>0</v>
      </c>
      <c r="N226" s="96">
        <f t="shared" ca="1" si="28"/>
        <v>0</v>
      </c>
      <c r="O226" s="97">
        <f t="shared" si="29"/>
        <v>0</v>
      </c>
      <c r="P226" s="84"/>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row>
    <row r="227" spans="2:53">
      <c r="B227" s="41"/>
      <c r="C227" s="31" t="s">
        <v>9</v>
      </c>
      <c r="D227" s="46" t="s">
        <v>438</v>
      </c>
      <c r="E227" s="47"/>
      <c r="F227" s="33"/>
      <c r="G227" s="33"/>
      <c r="H227" s="45">
        <v>338</v>
      </c>
      <c r="I227" s="34"/>
      <c r="J227" s="26">
        <f t="shared" si="26"/>
        <v>338</v>
      </c>
      <c r="K227" s="33"/>
      <c r="L227" s="33"/>
      <c r="M227" s="99">
        <f t="shared" si="27"/>
        <v>0</v>
      </c>
      <c r="N227" s="96">
        <f t="shared" ca="1" si="28"/>
        <v>0</v>
      </c>
      <c r="O227" s="97">
        <f t="shared" si="29"/>
        <v>0</v>
      </c>
      <c r="P227" s="84"/>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row>
    <row r="228" spans="2:53">
      <c r="B228" s="41"/>
      <c r="C228" s="31" t="s">
        <v>9</v>
      </c>
      <c r="D228" s="46" t="s">
        <v>439</v>
      </c>
      <c r="E228" s="47"/>
      <c r="F228" s="33"/>
      <c r="G228" s="33"/>
      <c r="H228" s="45">
        <v>234</v>
      </c>
      <c r="I228" s="34"/>
      <c r="J228" s="26">
        <f t="shared" si="26"/>
        <v>234</v>
      </c>
      <c r="K228" s="101">
        <v>46256</v>
      </c>
      <c r="L228" s="101">
        <v>46267</v>
      </c>
      <c r="M228" s="99">
        <f t="shared" si="27"/>
        <v>11</v>
      </c>
      <c r="N228" s="96">
        <f t="shared" ca="1" si="28"/>
        <v>0</v>
      </c>
      <c r="O228" s="97">
        <f t="shared" ca="1" si="29"/>
        <v>0</v>
      </c>
      <c r="P228" s="84"/>
      <c r="Q228" s="30"/>
      <c r="R228" s="30"/>
      <c r="S228" s="30"/>
      <c r="T228" s="30"/>
      <c r="U228" s="30"/>
      <c r="V228" s="30"/>
      <c r="W228" s="30"/>
      <c r="X228" s="30"/>
      <c r="Y228" s="30"/>
      <c r="Z228" s="30"/>
      <c r="AA228" s="30"/>
      <c r="AB228" s="30"/>
      <c r="AC228" s="100"/>
      <c r="AD228" s="100"/>
      <c r="AE228" s="100"/>
      <c r="AF228" s="100"/>
      <c r="AG228" s="100"/>
      <c r="AH228" s="100"/>
      <c r="AI228" s="100"/>
      <c r="AJ228" s="100"/>
      <c r="AK228" s="100"/>
      <c r="AL228" s="100"/>
      <c r="AM228" s="100"/>
      <c r="AN228" s="100"/>
      <c r="AO228" s="30"/>
      <c r="AP228" s="30"/>
      <c r="AQ228" s="30"/>
      <c r="AR228" s="30"/>
      <c r="AS228" s="30"/>
      <c r="AT228" s="30"/>
      <c r="AU228" s="30"/>
      <c r="AV228" s="30"/>
      <c r="AW228" s="30"/>
      <c r="AX228" s="30"/>
      <c r="AY228" s="30"/>
      <c r="AZ228" s="30"/>
      <c r="BA228" s="30"/>
    </row>
    <row r="229" spans="2:53">
      <c r="B229" s="41"/>
      <c r="C229" s="31" t="s">
        <v>9</v>
      </c>
      <c r="D229" s="46" t="s">
        <v>440</v>
      </c>
      <c r="E229" s="47"/>
      <c r="F229" s="33"/>
      <c r="G229" s="33"/>
      <c r="H229" s="45">
        <v>62.4</v>
      </c>
      <c r="I229" s="34"/>
      <c r="J229" s="26">
        <f t="shared" si="26"/>
        <v>62.4</v>
      </c>
      <c r="K229" s="33"/>
      <c r="L229" s="33"/>
      <c r="M229" s="99">
        <f t="shared" si="27"/>
        <v>0</v>
      </c>
      <c r="N229" s="96">
        <f t="shared" ca="1" si="28"/>
        <v>0</v>
      </c>
      <c r="O229" s="97">
        <f t="shared" si="29"/>
        <v>0</v>
      </c>
      <c r="P229" s="84"/>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row>
    <row r="230" spans="2:53">
      <c r="B230" s="41"/>
      <c r="C230" s="31" t="s">
        <v>9</v>
      </c>
      <c r="D230" s="46" t="s">
        <v>441</v>
      </c>
      <c r="E230" s="47"/>
      <c r="F230" s="33"/>
      <c r="G230" s="33"/>
      <c r="H230" s="45">
        <v>208</v>
      </c>
      <c r="I230" s="34"/>
      <c r="J230" s="26">
        <f t="shared" si="26"/>
        <v>208</v>
      </c>
      <c r="K230" s="33"/>
      <c r="L230" s="33"/>
      <c r="M230" s="99">
        <f t="shared" si="27"/>
        <v>0</v>
      </c>
      <c r="N230" s="96">
        <f t="shared" ca="1" si="28"/>
        <v>0</v>
      </c>
      <c r="O230" s="97">
        <f t="shared" si="29"/>
        <v>0</v>
      </c>
      <c r="P230" s="84"/>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row>
    <row r="231" spans="2:53">
      <c r="B231" s="41" t="s">
        <v>418</v>
      </c>
      <c r="C231" s="31" t="s">
        <v>9</v>
      </c>
      <c r="D231" s="46" t="s">
        <v>442</v>
      </c>
      <c r="E231" s="47"/>
      <c r="F231" s="33"/>
      <c r="G231" s="33"/>
      <c r="H231" s="45">
        <v>520</v>
      </c>
      <c r="I231" s="34"/>
      <c r="J231" s="26">
        <f t="shared" si="26"/>
        <v>520</v>
      </c>
      <c r="K231" s="33"/>
      <c r="L231" s="33"/>
      <c r="M231" s="99">
        <f t="shared" si="27"/>
        <v>0</v>
      </c>
      <c r="N231" s="96">
        <f t="shared" ca="1" si="28"/>
        <v>0</v>
      </c>
      <c r="O231" s="97">
        <f t="shared" si="29"/>
        <v>0</v>
      </c>
      <c r="P231" s="84"/>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row>
    <row r="232" spans="2:53">
      <c r="B232" s="41"/>
      <c r="C232" s="31" t="s">
        <v>9</v>
      </c>
      <c r="D232" s="46" t="s">
        <v>443</v>
      </c>
      <c r="E232" s="47"/>
      <c r="F232" s="33"/>
      <c r="G232" s="33"/>
      <c r="H232" s="45">
        <v>5382</v>
      </c>
      <c r="I232" s="34"/>
      <c r="J232" s="26">
        <f t="shared" si="26"/>
        <v>5382</v>
      </c>
      <c r="K232" s="33"/>
      <c r="L232" s="33"/>
      <c r="M232" s="99">
        <f t="shared" si="27"/>
        <v>0</v>
      </c>
      <c r="N232" s="96">
        <f t="shared" ca="1" si="28"/>
        <v>0</v>
      </c>
      <c r="O232" s="97">
        <f t="shared" si="29"/>
        <v>0</v>
      </c>
      <c r="P232" s="84"/>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row>
    <row r="233" spans="2:53">
      <c r="B233" s="41"/>
      <c r="C233" s="31" t="s">
        <v>9</v>
      </c>
      <c r="D233" s="46" t="s">
        <v>444</v>
      </c>
      <c r="E233" s="47"/>
      <c r="F233" s="33"/>
      <c r="G233" s="33"/>
      <c r="H233" s="45">
        <v>1404</v>
      </c>
      <c r="I233" s="34"/>
      <c r="J233" s="26">
        <f t="shared" si="26"/>
        <v>1404</v>
      </c>
      <c r="K233" s="33"/>
      <c r="L233" s="33"/>
      <c r="M233" s="99">
        <f t="shared" si="27"/>
        <v>0</v>
      </c>
      <c r="N233" s="96">
        <f t="shared" ca="1" si="28"/>
        <v>0</v>
      </c>
      <c r="O233" s="97">
        <f t="shared" si="29"/>
        <v>0</v>
      </c>
      <c r="P233" s="84"/>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row>
    <row r="234" spans="2:53">
      <c r="B234" s="41"/>
      <c r="C234" s="31" t="s">
        <v>9</v>
      </c>
      <c r="D234" s="46" t="s">
        <v>445</v>
      </c>
      <c r="E234" s="47"/>
      <c r="F234" s="33"/>
      <c r="G234" s="33"/>
      <c r="H234" s="45">
        <v>520</v>
      </c>
      <c r="I234" s="34"/>
      <c r="J234" s="26">
        <f t="shared" si="26"/>
        <v>520</v>
      </c>
      <c r="K234" s="33"/>
      <c r="L234" s="33"/>
      <c r="M234" s="99">
        <f t="shared" si="27"/>
        <v>0</v>
      </c>
      <c r="N234" s="96">
        <f t="shared" ca="1" si="28"/>
        <v>0</v>
      </c>
      <c r="O234" s="97">
        <f t="shared" si="29"/>
        <v>0</v>
      </c>
      <c r="P234" s="84"/>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row>
    <row r="235" spans="2:53">
      <c r="B235" s="41"/>
      <c r="C235" s="31" t="s">
        <v>9</v>
      </c>
      <c r="D235" s="46" t="s">
        <v>446</v>
      </c>
      <c r="E235" s="47"/>
      <c r="F235" s="33"/>
      <c r="G235" s="33"/>
      <c r="H235" s="45">
        <v>754</v>
      </c>
      <c r="I235" s="34"/>
      <c r="J235" s="26">
        <f t="shared" si="26"/>
        <v>754</v>
      </c>
      <c r="K235" s="33"/>
      <c r="L235" s="33"/>
      <c r="M235" s="99">
        <f t="shared" si="27"/>
        <v>0</v>
      </c>
      <c r="N235" s="96">
        <f t="shared" ca="1" si="28"/>
        <v>0</v>
      </c>
      <c r="O235" s="97">
        <f t="shared" si="29"/>
        <v>0</v>
      </c>
      <c r="P235" s="84"/>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row>
    <row r="236" spans="2:53">
      <c r="B236" s="41"/>
      <c r="C236" s="31" t="s">
        <v>9</v>
      </c>
      <c r="D236" s="46" t="s">
        <v>447</v>
      </c>
      <c r="E236" s="47"/>
      <c r="F236" s="33"/>
      <c r="G236" s="33"/>
      <c r="H236" s="45">
        <v>286</v>
      </c>
      <c r="I236" s="34"/>
      <c r="J236" s="26">
        <f t="shared" si="26"/>
        <v>286</v>
      </c>
      <c r="K236" s="33"/>
      <c r="L236" s="33"/>
      <c r="M236" s="99">
        <f t="shared" si="27"/>
        <v>0</v>
      </c>
      <c r="N236" s="96">
        <f t="shared" ca="1" si="28"/>
        <v>0</v>
      </c>
      <c r="O236" s="97">
        <f t="shared" si="29"/>
        <v>0</v>
      </c>
      <c r="P236" s="84"/>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row>
    <row r="237" spans="2:53">
      <c r="B237" s="41"/>
      <c r="C237" s="31" t="s">
        <v>9</v>
      </c>
      <c r="D237" s="46" t="s">
        <v>448</v>
      </c>
      <c r="E237" s="47"/>
      <c r="F237" s="33"/>
      <c r="G237" s="33"/>
      <c r="H237" s="45">
        <v>1248</v>
      </c>
      <c r="I237" s="34"/>
      <c r="J237" s="26">
        <f t="shared" si="26"/>
        <v>1248</v>
      </c>
      <c r="K237" s="33"/>
      <c r="L237" s="33"/>
      <c r="M237" s="99">
        <f t="shared" si="27"/>
        <v>0</v>
      </c>
      <c r="N237" s="96">
        <f t="shared" ca="1" si="28"/>
        <v>0</v>
      </c>
      <c r="O237" s="97">
        <f t="shared" si="29"/>
        <v>0</v>
      </c>
      <c r="P237" s="84"/>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row>
    <row r="238" spans="2:53">
      <c r="B238" s="41"/>
      <c r="C238" s="31" t="s">
        <v>9</v>
      </c>
      <c r="D238" s="46" t="s">
        <v>449</v>
      </c>
      <c r="E238" s="47"/>
      <c r="F238" s="33"/>
      <c r="G238" s="33"/>
      <c r="H238" s="45">
        <v>2184</v>
      </c>
      <c r="I238" s="34"/>
      <c r="J238" s="26">
        <f t="shared" si="26"/>
        <v>2184</v>
      </c>
      <c r="K238" s="33"/>
      <c r="L238" s="33"/>
      <c r="M238" s="99">
        <f t="shared" si="27"/>
        <v>0</v>
      </c>
      <c r="N238" s="96">
        <f t="shared" ca="1" si="28"/>
        <v>0</v>
      </c>
      <c r="O238" s="97">
        <f t="shared" si="29"/>
        <v>0</v>
      </c>
      <c r="P238" s="84"/>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row>
    <row r="239" spans="2:53">
      <c r="B239" s="41" t="s">
        <v>419</v>
      </c>
      <c r="C239" s="31" t="s">
        <v>9</v>
      </c>
      <c r="D239" s="46" t="s">
        <v>450</v>
      </c>
      <c r="E239" s="47"/>
      <c r="F239" s="33"/>
      <c r="G239" s="33"/>
      <c r="H239" s="45">
        <v>280.8</v>
      </c>
      <c r="I239" s="34"/>
      <c r="J239" s="26">
        <f t="shared" si="26"/>
        <v>280.8</v>
      </c>
      <c r="K239" s="33"/>
      <c r="L239" s="33"/>
      <c r="M239" s="99">
        <f t="shared" si="27"/>
        <v>0</v>
      </c>
      <c r="N239" s="96">
        <f t="shared" ca="1" si="28"/>
        <v>0</v>
      </c>
      <c r="O239" s="97">
        <f t="shared" si="29"/>
        <v>0</v>
      </c>
      <c r="P239" s="84"/>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row>
    <row r="240" spans="2:53">
      <c r="B240" s="41"/>
      <c r="C240" s="31" t="s">
        <v>9</v>
      </c>
      <c r="D240" s="46" t="s">
        <v>451</v>
      </c>
      <c r="E240" s="47"/>
      <c r="F240" s="33"/>
      <c r="G240" s="33"/>
      <c r="H240" s="45">
        <v>280.8</v>
      </c>
      <c r="I240" s="34"/>
      <c r="J240" s="26">
        <f t="shared" si="26"/>
        <v>280.8</v>
      </c>
      <c r="K240" s="33"/>
      <c r="L240" s="33"/>
      <c r="M240" s="99">
        <f t="shared" si="27"/>
        <v>0</v>
      </c>
      <c r="N240" s="96">
        <f t="shared" ca="1" si="28"/>
        <v>0</v>
      </c>
      <c r="O240" s="97">
        <f t="shared" si="29"/>
        <v>0</v>
      </c>
      <c r="P240" s="84"/>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row>
    <row r="241" spans="2:53">
      <c r="B241" s="41"/>
      <c r="C241" s="31" t="s">
        <v>9</v>
      </c>
      <c r="D241" s="46" t="s">
        <v>452</v>
      </c>
      <c r="E241" s="47"/>
      <c r="F241" s="33"/>
      <c r="G241" s="33"/>
      <c r="H241" s="45">
        <v>312</v>
      </c>
      <c r="I241" s="34"/>
      <c r="J241" s="26">
        <f t="shared" si="26"/>
        <v>312</v>
      </c>
      <c r="K241" s="33"/>
      <c r="L241" s="33"/>
      <c r="M241" s="99">
        <f t="shared" si="27"/>
        <v>0</v>
      </c>
      <c r="N241" s="96">
        <f t="shared" ca="1" si="28"/>
        <v>0</v>
      </c>
      <c r="O241" s="97">
        <f t="shared" si="29"/>
        <v>0</v>
      </c>
      <c r="P241" s="84"/>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row>
    <row r="242" spans="2:53">
      <c r="B242" s="41"/>
      <c r="C242" s="31" t="s">
        <v>9</v>
      </c>
      <c r="D242" s="46" t="s">
        <v>453</v>
      </c>
      <c r="E242" s="47"/>
      <c r="F242" s="33"/>
      <c r="G242" s="33"/>
      <c r="H242" s="45">
        <v>29.9</v>
      </c>
      <c r="I242" s="34"/>
      <c r="J242" s="26">
        <f t="shared" si="26"/>
        <v>29.9</v>
      </c>
      <c r="K242" s="33"/>
      <c r="L242" s="33"/>
      <c r="M242" s="99">
        <f t="shared" si="27"/>
        <v>0</v>
      </c>
      <c r="N242" s="96">
        <f t="shared" ca="1" si="28"/>
        <v>0</v>
      </c>
      <c r="O242" s="97">
        <f t="shared" si="29"/>
        <v>0</v>
      </c>
      <c r="P242" s="84"/>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row>
    <row r="243" spans="2:53">
      <c r="B243" s="41"/>
      <c r="C243" s="31" t="s">
        <v>9</v>
      </c>
      <c r="D243" s="46" t="s">
        <v>454</v>
      </c>
      <c r="E243" s="47"/>
      <c r="F243" s="33"/>
      <c r="G243" s="33"/>
      <c r="H243" s="45">
        <v>2059.1999999999998</v>
      </c>
      <c r="I243" s="34"/>
      <c r="J243" s="26">
        <f t="shared" si="26"/>
        <v>2059.1999999999998</v>
      </c>
      <c r="K243" s="33"/>
      <c r="L243" s="33"/>
      <c r="M243" s="99">
        <f t="shared" si="27"/>
        <v>0</v>
      </c>
      <c r="N243" s="96">
        <f t="shared" ca="1" si="28"/>
        <v>0</v>
      </c>
      <c r="O243" s="97">
        <f t="shared" si="29"/>
        <v>0</v>
      </c>
      <c r="P243" s="84"/>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row>
    <row r="244" spans="2:53">
      <c r="B244" s="41" t="s">
        <v>420</v>
      </c>
      <c r="C244" s="31" t="s">
        <v>9</v>
      </c>
      <c r="D244" s="46" t="s">
        <v>455</v>
      </c>
      <c r="E244" s="47"/>
      <c r="F244" s="33"/>
      <c r="G244" s="33"/>
      <c r="H244" s="45">
        <v>858</v>
      </c>
      <c r="I244" s="34"/>
      <c r="J244" s="26">
        <f t="shared" si="26"/>
        <v>858</v>
      </c>
      <c r="K244" s="33"/>
      <c r="L244" s="33"/>
      <c r="M244" s="99">
        <f t="shared" si="27"/>
        <v>0</v>
      </c>
      <c r="N244" s="96">
        <f t="shared" ca="1" si="28"/>
        <v>0</v>
      </c>
      <c r="O244" s="97">
        <f t="shared" si="29"/>
        <v>0</v>
      </c>
      <c r="P244" s="84"/>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row>
    <row r="245" spans="2:53">
      <c r="B245" s="41"/>
      <c r="C245" s="31" t="s">
        <v>9</v>
      </c>
      <c r="D245" s="46" t="s">
        <v>456</v>
      </c>
      <c r="E245" s="47"/>
      <c r="F245" s="33"/>
      <c r="G245" s="33"/>
      <c r="H245" s="45">
        <v>221</v>
      </c>
      <c r="I245" s="34"/>
      <c r="J245" s="26">
        <f t="shared" si="26"/>
        <v>221</v>
      </c>
      <c r="K245" s="33"/>
      <c r="L245" s="33"/>
      <c r="M245" s="99">
        <f t="shared" si="27"/>
        <v>0</v>
      </c>
      <c r="N245" s="96">
        <f t="shared" ca="1" si="28"/>
        <v>0</v>
      </c>
      <c r="O245" s="97">
        <f t="shared" si="29"/>
        <v>0</v>
      </c>
      <c r="P245" s="84"/>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row>
    <row r="246" spans="2:53">
      <c r="B246" s="41" t="s">
        <v>421</v>
      </c>
      <c r="C246" s="31" t="s">
        <v>9</v>
      </c>
      <c r="D246" s="46" t="s">
        <v>280</v>
      </c>
      <c r="E246" s="47"/>
      <c r="F246" s="33"/>
      <c r="G246" s="33"/>
      <c r="H246" s="45">
        <v>561.6</v>
      </c>
      <c r="I246" s="34"/>
      <c r="J246" s="26">
        <f t="shared" si="26"/>
        <v>561.6</v>
      </c>
      <c r="K246" s="33"/>
      <c r="L246" s="33"/>
      <c r="M246" s="99">
        <f t="shared" si="27"/>
        <v>0</v>
      </c>
      <c r="N246" s="96">
        <f t="shared" ca="1" si="28"/>
        <v>0</v>
      </c>
      <c r="O246" s="97">
        <f t="shared" si="29"/>
        <v>0</v>
      </c>
      <c r="P246" s="84"/>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row>
    <row r="247" spans="2:53">
      <c r="B247" s="41"/>
      <c r="C247" s="31" t="s">
        <v>9</v>
      </c>
      <c r="D247" s="46" t="s">
        <v>457</v>
      </c>
      <c r="E247" s="47"/>
      <c r="F247" s="33"/>
      <c r="G247" s="33"/>
      <c r="H247" s="45">
        <v>644.79999999999995</v>
      </c>
      <c r="I247" s="34"/>
      <c r="J247" s="26">
        <f t="shared" si="26"/>
        <v>644.79999999999995</v>
      </c>
      <c r="K247" s="33"/>
      <c r="L247" s="33"/>
      <c r="M247" s="99">
        <f t="shared" si="27"/>
        <v>0</v>
      </c>
      <c r="N247" s="96">
        <f t="shared" ca="1" si="28"/>
        <v>0</v>
      </c>
      <c r="O247" s="97">
        <f t="shared" si="29"/>
        <v>0</v>
      </c>
      <c r="P247" s="84"/>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row>
    <row r="248" spans="2:53">
      <c r="B248" s="41"/>
      <c r="C248" s="31" t="s">
        <v>9</v>
      </c>
      <c r="D248" s="46" t="s">
        <v>458</v>
      </c>
      <c r="E248" s="47"/>
      <c r="F248" s="33"/>
      <c r="G248" s="33"/>
      <c r="H248" s="45">
        <v>8840</v>
      </c>
      <c r="I248" s="34"/>
      <c r="J248" s="26">
        <f t="shared" si="26"/>
        <v>8840</v>
      </c>
      <c r="K248" s="33"/>
      <c r="L248" s="33"/>
      <c r="M248" s="99">
        <f t="shared" si="27"/>
        <v>0</v>
      </c>
      <c r="N248" s="96">
        <f t="shared" ca="1" si="28"/>
        <v>0</v>
      </c>
      <c r="O248" s="97">
        <f t="shared" si="29"/>
        <v>0</v>
      </c>
      <c r="P248" s="84"/>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row>
    <row r="249" spans="2:53">
      <c r="B249" s="41" t="s">
        <v>422</v>
      </c>
      <c r="C249" s="31" t="s">
        <v>9</v>
      </c>
      <c r="D249" s="46" t="s">
        <v>281</v>
      </c>
      <c r="E249" s="47"/>
      <c r="F249" s="33"/>
      <c r="G249" s="33"/>
      <c r="H249" s="45">
        <v>494</v>
      </c>
      <c r="I249" s="34"/>
      <c r="J249" s="26">
        <f t="shared" si="26"/>
        <v>494</v>
      </c>
      <c r="K249" s="33"/>
      <c r="L249" s="33"/>
      <c r="M249" s="99">
        <f t="shared" si="27"/>
        <v>0</v>
      </c>
      <c r="N249" s="96">
        <f t="shared" ca="1" si="28"/>
        <v>0</v>
      </c>
      <c r="O249" s="97">
        <f t="shared" si="29"/>
        <v>0</v>
      </c>
      <c r="P249" s="84"/>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row>
    <row r="250" spans="2:53">
      <c r="B250" s="41"/>
      <c r="C250" s="31" t="s">
        <v>9</v>
      </c>
      <c r="D250" s="46" t="s">
        <v>459</v>
      </c>
      <c r="E250" s="47"/>
      <c r="F250" s="33"/>
      <c r="G250" s="33"/>
      <c r="H250" s="45">
        <v>572</v>
      </c>
      <c r="I250" s="34"/>
      <c r="J250" s="26">
        <f t="shared" si="26"/>
        <v>572</v>
      </c>
      <c r="K250" s="33"/>
      <c r="L250" s="33"/>
      <c r="M250" s="99">
        <f t="shared" si="27"/>
        <v>0</v>
      </c>
      <c r="N250" s="96">
        <f t="shared" ca="1" si="28"/>
        <v>0</v>
      </c>
      <c r="O250" s="97">
        <f t="shared" si="29"/>
        <v>0</v>
      </c>
      <c r="P250" s="84"/>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row>
    <row r="251" spans="2:53">
      <c r="B251" s="41"/>
      <c r="C251" s="31" t="s">
        <v>9</v>
      </c>
      <c r="D251" s="46" t="s">
        <v>460</v>
      </c>
      <c r="E251" s="47"/>
      <c r="F251" s="33"/>
      <c r="G251" s="33"/>
      <c r="H251" s="45">
        <v>7800</v>
      </c>
      <c r="I251" s="34"/>
      <c r="J251" s="26">
        <f t="shared" si="26"/>
        <v>7800</v>
      </c>
      <c r="K251" s="33"/>
      <c r="L251" s="33"/>
      <c r="M251" s="99">
        <f t="shared" si="27"/>
        <v>0</v>
      </c>
      <c r="N251" s="96">
        <f t="shared" ca="1" si="28"/>
        <v>0</v>
      </c>
      <c r="O251" s="97">
        <f t="shared" si="29"/>
        <v>0</v>
      </c>
      <c r="P251" s="84"/>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row>
    <row r="252" spans="2:53">
      <c r="B252" s="41" t="s">
        <v>423</v>
      </c>
      <c r="C252" s="31" t="s">
        <v>9</v>
      </c>
      <c r="D252" s="46" t="s">
        <v>461</v>
      </c>
      <c r="E252" s="47"/>
      <c r="F252" s="33"/>
      <c r="G252" s="33"/>
      <c r="H252" s="45">
        <v>520</v>
      </c>
      <c r="I252" s="34"/>
      <c r="J252" s="26">
        <f t="shared" si="26"/>
        <v>520</v>
      </c>
      <c r="K252" s="33"/>
      <c r="L252" s="33"/>
      <c r="M252" s="99">
        <f t="shared" si="27"/>
        <v>0</v>
      </c>
      <c r="N252" s="96">
        <f t="shared" ca="1" si="28"/>
        <v>0</v>
      </c>
      <c r="O252" s="97">
        <f t="shared" si="29"/>
        <v>0</v>
      </c>
      <c r="P252" s="84"/>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row>
    <row r="253" spans="2:53">
      <c r="B253" s="41" t="s">
        <v>424</v>
      </c>
      <c r="C253" s="31" t="s">
        <v>9</v>
      </c>
      <c r="D253" s="46" t="s">
        <v>462</v>
      </c>
      <c r="E253" s="47"/>
      <c r="F253" s="33"/>
      <c r="G253" s="33"/>
      <c r="H253" s="45">
        <v>2496</v>
      </c>
      <c r="I253" s="34"/>
      <c r="J253" s="26">
        <f t="shared" si="26"/>
        <v>2496</v>
      </c>
      <c r="K253" s="33"/>
      <c r="L253" s="33"/>
      <c r="M253" s="99">
        <f t="shared" si="27"/>
        <v>0</v>
      </c>
      <c r="N253" s="96">
        <f t="shared" ca="1" si="28"/>
        <v>0</v>
      </c>
      <c r="O253" s="97">
        <f t="shared" si="29"/>
        <v>0</v>
      </c>
      <c r="P253" s="84"/>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row>
    <row r="254" spans="2:53">
      <c r="B254" s="41" t="s">
        <v>425</v>
      </c>
      <c r="C254" s="31" t="s">
        <v>9</v>
      </c>
      <c r="D254" s="46" t="s">
        <v>463</v>
      </c>
      <c r="E254" s="47"/>
      <c r="F254" s="33"/>
      <c r="G254" s="33"/>
      <c r="H254" s="45">
        <v>6292</v>
      </c>
      <c r="I254" s="34"/>
      <c r="J254" s="26">
        <f t="shared" si="26"/>
        <v>6292</v>
      </c>
      <c r="K254" s="33"/>
      <c r="L254" s="33"/>
      <c r="M254" s="99">
        <f t="shared" si="27"/>
        <v>0</v>
      </c>
      <c r="N254" s="96">
        <f t="shared" ca="1" si="28"/>
        <v>0</v>
      </c>
      <c r="O254" s="97">
        <f t="shared" si="29"/>
        <v>0</v>
      </c>
      <c r="P254" s="84"/>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row>
    <row r="255" spans="2:53">
      <c r="B255" s="41"/>
      <c r="C255" s="31" t="s">
        <v>9</v>
      </c>
      <c r="D255" s="46" t="s">
        <v>464</v>
      </c>
      <c r="E255" s="47"/>
      <c r="F255" s="33"/>
      <c r="G255" s="33"/>
      <c r="H255" s="45">
        <v>16952</v>
      </c>
      <c r="I255" s="34"/>
      <c r="J255" s="26">
        <f t="shared" si="26"/>
        <v>16952</v>
      </c>
      <c r="K255" s="33"/>
      <c r="L255" s="33"/>
      <c r="M255" s="99">
        <f t="shared" si="27"/>
        <v>0</v>
      </c>
      <c r="N255" s="96">
        <f t="shared" ca="1" si="28"/>
        <v>0</v>
      </c>
      <c r="O255" s="97">
        <f t="shared" si="29"/>
        <v>0</v>
      </c>
      <c r="P255" s="84"/>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row>
    <row r="256" spans="2:53">
      <c r="B256" s="41"/>
      <c r="C256" s="31" t="s">
        <v>9</v>
      </c>
      <c r="D256" s="46" t="s">
        <v>465</v>
      </c>
      <c r="E256" s="47"/>
      <c r="F256" s="33"/>
      <c r="G256" s="33"/>
      <c r="H256" s="45">
        <v>5200</v>
      </c>
      <c r="I256" s="34"/>
      <c r="J256" s="26">
        <f t="shared" si="26"/>
        <v>5200</v>
      </c>
      <c r="K256" s="33"/>
      <c r="L256" s="33"/>
      <c r="M256" s="99">
        <f t="shared" si="27"/>
        <v>0</v>
      </c>
      <c r="N256" s="96">
        <f t="shared" ca="1" si="28"/>
        <v>0</v>
      </c>
      <c r="O256" s="97">
        <f t="shared" si="29"/>
        <v>0</v>
      </c>
      <c r="P256" s="84"/>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row>
    <row r="257" spans="2:53">
      <c r="B257" s="41" t="s">
        <v>426</v>
      </c>
      <c r="C257" s="31" t="s">
        <v>9</v>
      </c>
      <c r="D257" s="46" t="s">
        <v>466</v>
      </c>
      <c r="E257" s="47"/>
      <c r="F257" s="33"/>
      <c r="G257" s="33"/>
      <c r="H257" s="45">
        <v>0</v>
      </c>
      <c r="I257" s="34"/>
      <c r="J257" s="26">
        <f t="shared" si="26"/>
        <v>0</v>
      </c>
      <c r="K257" s="33"/>
      <c r="L257" s="33"/>
      <c r="M257" s="99">
        <f t="shared" si="27"/>
        <v>0</v>
      </c>
      <c r="N257" s="96">
        <f t="shared" ca="1" si="28"/>
        <v>0</v>
      </c>
      <c r="O257" s="97">
        <f t="shared" si="29"/>
        <v>0</v>
      </c>
      <c r="P257" s="84"/>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row>
    <row r="258" spans="2:53">
      <c r="B258" s="41" t="s">
        <v>427</v>
      </c>
      <c r="C258" s="31" t="s">
        <v>9</v>
      </c>
      <c r="D258" s="46" t="s">
        <v>467</v>
      </c>
      <c r="E258" s="47"/>
      <c r="F258" s="33"/>
      <c r="G258" s="33"/>
      <c r="H258" s="45">
        <v>1144</v>
      </c>
      <c r="I258" s="34"/>
      <c r="J258" s="26">
        <f t="shared" si="26"/>
        <v>1144</v>
      </c>
      <c r="K258" s="33"/>
      <c r="L258" s="33"/>
      <c r="M258" s="99">
        <f t="shared" si="27"/>
        <v>0</v>
      </c>
      <c r="N258" s="96">
        <f t="shared" ca="1" si="28"/>
        <v>0</v>
      </c>
      <c r="O258" s="97">
        <f t="shared" si="29"/>
        <v>0</v>
      </c>
      <c r="P258" s="84"/>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row>
    <row r="259" spans="2:53">
      <c r="B259" s="41"/>
      <c r="C259" s="31" t="s">
        <v>9</v>
      </c>
      <c r="D259" s="46" t="s">
        <v>468</v>
      </c>
      <c r="E259" s="47"/>
      <c r="F259" s="33"/>
      <c r="G259" s="33"/>
      <c r="H259" s="45">
        <v>491.4</v>
      </c>
      <c r="I259" s="34"/>
      <c r="J259" s="26">
        <f t="shared" si="26"/>
        <v>491.4</v>
      </c>
      <c r="K259" s="33"/>
      <c r="L259" s="33"/>
      <c r="M259" s="99">
        <f t="shared" si="27"/>
        <v>0</v>
      </c>
      <c r="N259" s="96">
        <f t="shared" ca="1" si="28"/>
        <v>0</v>
      </c>
      <c r="O259" s="97">
        <f t="shared" si="29"/>
        <v>0</v>
      </c>
      <c r="P259" s="84"/>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row>
    <row r="260" spans="2:53">
      <c r="B260" s="41"/>
      <c r="C260" s="31" t="s">
        <v>9</v>
      </c>
      <c r="D260" s="46" t="s">
        <v>469</v>
      </c>
      <c r="E260" s="47"/>
      <c r="F260" s="33"/>
      <c r="G260" s="33"/>
      <c r="H260" s="45">
        <v>1144</v>
      </c>
      <c r="I260" s="34"/>
      <c r="J260" s="26">
        <f t="shared" si="26"/>
        <v>1144</v>
      </c>
      <c r="K260" s="33"/>
      <c r="L260" s="33"/>
      <c r="M260" s="99">
        <f t="shared" si="27"/>
        <v>0</v>
      </c>
      <c r="N260" s="96">
        <f t="shared" ca="1" si="28"/>
        <v>0</v>
      </c>
      <c r="O260" s="97">
        <f t="shared" si="29"/>
        <v>0</v>
      </c>
      <c r="P260" s="84"/>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row>
    <row r="261" spans="2:53">
      <c r="B261" s="41"/>
      <c r="C261" s="31" t="s">
        <v>9</v>
      </c>
      <c r="D261" s="46" t="s">
        <v>470</v>
      </c>
      <c r="E261" s="47"/>
      <c r="F261" s="33"/>
      <c r="G261" s="33"/>
      <c r="H261" s="45">
        <v>1144</v>
      </c>
      <c r="I261" s="34"/>
      <c r="J261" s="26">
        <f t="shared" si="26"/>
        <v>1144</v>
      </c>
      <c r="K261" s="33"/>
      <c r="L261" s="33"/>
      <c r="M261" s="99">
        <f t="shared" si="27"/>
        <v>0</v>
      </c>
      <c r="N261" s="96">
        <f t="shared" ca="1" si="28"/>
        <v>0</v>
      </c>
      <c r="O261" s="97">
        <f t="shared" si="29"/>
        <v>0</v>
      </c>
      <c r="P261" s="84"/>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row>
    <row r="262" spans="2:53">
      <c r="B262" s="41"/>
      <c r="C262" s="31" t="s">
        <v>9</v>
      </c>
      <c r="D262" s="46" t="s">
        <v>471</v>
      </c>
      <c r="E262" s="47"/>
      <c r="F262" s="33"/>
      <c r="G262" s="33"/>
      <c r="H262" s="45">
        <v>1767.48</v>
      </c>
      <c r="I262" s="34"/>
      <c r="J262" s="26">
        <f t="shared" si="26"/>
        <v>1767.48</v>
      </c>
      <c r="K262" s="33"/>
      <c r="L262" s="33"/>
      <c r="M262" s="99">
        <f t="shared" si="27"/>
        <v>0</v>
      </c>
      <c r="N262" s="96">
        <f t="shared" ca="1" si="28"/>
        <v>0</v>
      </c>
      <c r="O262" s="97">
        <f t="shared" si="29"/>
        <v>0</v>
      </c>
      <c r="P262" s="84"/>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row>
    <row r="263" spans="2:53">
      <c r="B263" s="41"/>
      <c r="C263" s="31" t="s">
        <v>9</v>
      </c>
      <c r="D263" s="46" t="s">
        <v>472</v>
      </c>
      <c r="E263" s="47"/>
      <c r="F263" s="33"/>
      <c r="G263" s="33"/>
      <c r="H263" s="45">
        <v>1956.24</v>
      </c>
      <c r="I263" s="34"/>
      <c r="J263" s="26">
        <f t="shared" si="26"/>
        <v>1956.24</v>
      </c>
      <c r="K263" s="33"/>
      <c r="L263" s="33"/>
      <c r="M263" s="99">
        <f t="shared" si="27"/>
        <v>0</v>
      </c>
      <c r="N263" s="96">
        <f t="shared" ca="1" si="28"/>
        <v>0</v>
      </c>
      <c r="O263" s="97">
        <f t="shared" si="29"/>
        <v>0</v>
      </c>
      <c r="P263" s="84"/>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row>
    <row r="264" spans="2:53">
      <c r="B264" s="41"/>
      <c r="C264" s="31" t="s">
        <v>9</v>
      </c>
      <c r="D264" s="46" t="s">
        <v>473</v>
      </c>
      <c r="E264" s="47"/>
      <c r="F264" s="33"/>
      <c r="G264" s="33"/>
      <c r="H264" s="45">
        <v>1282.3096</v>
      </c>
      <c r="I264" s="34"/>
      <c r="J264" s="26">
        <f t="shared" si="26"/>
        <v>1282.3096</v>
      </c>
      <c r="K264" s="33"/>
      <c r="L264" s="33"/>
      <c r="M264" s="99">
        <f t="shared" si="27"/>
        <v>0</v>
      </c>
      <c r="N264" s="96">
        <f t="shared" ca="1" si="28"/>
        <v>0</v>
      </c>
      <c r="O264" s="97">
        <f t="shared" si="29"/>
        <v>0</v>
      </c>
      <c r="P264" s="84"/>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row>
    <row r="265" spans="2:53">
      <c r="B265" s="41"/>
      <c r="C265" s="31" t="s">
        <v>9</v>
      </c>
      <c r="D265" s="46" t="s">
        <v>474</v>
      </c>
      <c r="E265" s="47"/>
      <c r="F265" s="33"/>
      <c r="G265" s="33"/>
      <c r="H265" s="45">
        <v>1324.9807999999998</v>
      </c>
      <c r="I265" s="34"/>
      <c r="J265" s="26">
        <f t="shared" si="26"/>
        <v>1324.9807999999998</v>
      </c>
      <c r="K265" s="33"/>
      <c r="L265" s="33"/>
      <c r="M265" s="99">
        <f t="shared" si="27"/>
        <v>0</v>
      </c>
      <c r="N265" s="96">
        <f t="shared" ca="1" si="28"/>
        <v>0</v>
      </c>
      <c r="O265" s="97">
        <f t="shared" si="29"/>
        <v>0</v>
      </c>
      <c r="P265" s="84"/>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row>
    <row r="266" spans="2:53">
      <c r="B266" s="41"/>
      <c r="C266" s="31" t="s">
        <v>9</v>
      </c>
      <c r="D266" s="46" t="s">
        <v>475</v>
      </c>
      <c r="E266" s="47"/>
      <c r="F266" s="33"/>
      <c r="G266" s="33"/>
      <c r="H266" s="45">
        <v>1260</v>
      </c>
      <c r="I266" s="34"/>
      <c r="J266" s="26">
        <f t="shared" si="26"/>
        <v>1260</v>
      </c>
      <c r="K266" s="33"/>
      <c r="L266" s="33"/>
      <c r="M266" s="99">
        <f t="shared" si="27"/>
        <v>0</v>
      </c>
      <c r="N266" s="96">
        <f t="shared" ca="1" si="28"/>
        <v>0</v>
      </c>
      <c r="O266" s="97">
        <f t="shared" si="29"/>
        <v>0</v>
      </c>
      <c r="P266" s="84"/>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row>
    <row r="267" spans="2:53">
      <c r="B267" s="41"/>
      <c r="C267" s="31" t="s">
        <v>9</v>
      </c>
      <c r="D267" s="46" t="s">
        <v>476</v>
      </c>
      <c r="E267" s="47"/>
      <c r="F267" s="33"/>
      <c r="G267" s="33"/>
      <c r="H267" s="45">
        <v>1260</v>
      </c>
      <c r="I267" s="34"/>
      <c r="J267" s="26">
        <f t="shared" si="26"/>
        <v>1260</v>
      </c>
      <c r="K267" s="33"/>
      <c r="L267" s="33"/>
      <c r="M267" s="99">
        <f t="shared" si="27"/>
        <v>0</v>
      </c>
      <c r="N267" s="96">
        <f t="shared" ca="1" si="28"/>
        <v>0</v>
      </c>
      <c r="O267" s="97">
        <f t="shared" si="29"/>
        <v>0</v>
      </c>
      <c r="P267" s="84"/>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row>
    <row r="268" spans="2:53">
      <c r="B268" s="41" t="s">
        <v>428</v>
      </c>
      <c r="C268" s="31" t="s">
        <v>9</v>
      </c>
      <c r="D268" s="46" t="s">
        <v>477</v>
      </c>
      <c r="E268" s="47"/>
      <c r="F268" s="33"/>
      <c r="G268" s="33"/>
      <c r="H268" s="45">
        <v>7488</v>
      </c>
      <c r="I268" s="34"/>
      <c r="J268" s="26">
        <f t="shared" si="26"/>
        <v>7488</v>
      </c>
      <c r="K268" s="33"/>
      <c r="L268" s="33"/>
      <c r="M268" s="99">
        <f t="shared" si="27"/>
        <v>0</v>
      </c>
      <c r="N268" s="96">
        <f t="shared" ca="1" si="28"/>
        <v>0</v>
      </c>
      <c r="O268" s="97">
        <f t="shared" si="29"/>
        <v>0</v>
      </c>
      <c r="P268" s="84"/>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row>
    <row r="269" spans="2:53">
      <c r="B269" s="41"/>
      <c r="C269" s="31" t="s">
        <v>9</v>
      </c>
      <c r="D269" s="46" t="s">
        <v>478</v>
      </c>
      <c r="E269" s="47"/>
      <c r="F269" s="33"/>
      <c r="G269" s="33"/>
      <c r="H269" s="45">
        <v>821.6</v>
      </c>
      <c r="I269" s="34"/>
      <c r="J269" s="26">
        <f t="shared" si="26"/>
        <v>821.6</v>
      </c>
      <c r="K269" s="33"/>
      <c r="L269" s="33"/>
      <c r="M269" s="99">
        <f t="shared" si="27"/>
        <v>0</v>
      </c>
      <c r="N269" s="96">
        <f t="shared" ca="1" si="28"/>
        <v>0</v>
      </c>
      <c r="O269" s="97">
        <f t="shared" si="29"/>
        <v>0</v>
      </c>
      <c r="P269" s="84"/>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row>
    <row r="270" spans="2:53">
      <c r="B270" s="41" t="s">
        <v>429</v>
      </c>
      <c r="C270" s="31" t="s">
        <v>9</v>
      </c>
      <c r="D270" s="46" t="s">
        <v>479</v>
      </c>
      <c r="E270" s="47"/>
      <c r="F270" s="33"/>
      <c r="G270" s="33"/>
      <c r="H270" s="45">
        <v>1674.4</v>
      </c>
      <c r="I270" s="34"/>
      <c r="J270" s="26">
        <f t="shared" si="26"/>
        <v>1674.4</v>
      </c>
      <c r="K270" s="33"/>
      <c r="L270" s="33"/>
      <c r="M270" s="99">
        <f t="shared" si="27"/>
        <v>0</v>
      </c>
      <c r="N270" s="96">
        <f t="shared" ca="1" si="28"/>
        <v>0</v>
      </c>
      <c r="O270" s="97">
        <f t="shared" si="29"/>
        <v>0</v>
      </c>
      <c r="P270" s="84"/>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row>
    <row r="271" spans="2:53">
      <c r="B271" s="41"/>
      <c r="C271" s="31" t="s">
        <v>9</v>
      </c>
      <c r="D271" s="46" t="s">
        <v>480</v>
      </c>
      <c r="E271" s="47"/>
      <c r="F271" s="33"/>
      <c r="G271" s="33"/>
      <c r="H271" s="45">
        <v>508.3</v>
      </c>
      <c r="I271" s="34"/>
      <c r="J271" s="26">
        <f t="shared" si="26"/>
        <v>508.3</v>
      </c>
      <c r="K271" s="33"/>
      <c r="L271" s="33"/>
      <c r="M271" s="99">
        <f t="shared" si="27"/>
        <v>0</v>
      </c>
      <c r="N271" s="96">
        <f t="shared" ca="1" si="28"/>
        <v>0</v>
      </c>
      <c r="O271" s="97">
        <f t="shared" si="29"/>
        <v>0</v>
      </c>
      <c r="P271" s="84"/>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row>
    <row r="272" spans="2:53">
      <c r="B272" s="41" t="s">
        <v>430</v>
      </c>
      <c r="C272" s="31" t="s">
        <v>9</v>
      </c>
      <c r="D272" s="46" t="s">
        <v>481</v>
      </c>
      <c r="E272" s="47"/>
      <c r="F272" s="33"/>
      <c r="G272" s="33"/>
      <c r="H272" s="45">
        <v>3009.6</v>
      </c>
      <c r="I272" s="34"/>
      <c r="J272" s="26">
        <f t="shared" si="26"/>
        <v>3009.6</v>
      </c>
      <c r="K272" s="33"/>
      <c r="L272" s="33"/>
      <c r="M272" s="99">
        <f t="shared" si="27"/>
        <v>0</v>
      </c>
      <c r="N272" s="96">
        <f t="shared" ca="1" si="28"/>
        <v>0</v>
      </c>
      <c r="O272" s="97">
        <f t="shared" si="29"/>
        <v>0</v>
      </c>
      <c r="P272" s="84"/>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row>
    <row r="273" spans="2:53">
      <c r="B273" s="41"/>
      <c r="C273" s="31" t="s">
        <v>9</v>
      </c>
      <c r="D273" s="46" t="s">
        <v>482</v>
      </c>
      <c r="E273" s="47"/>
      <c r="F273" s="33"/>
      <c r="G273" s="33"/>
      <c r="H273" s="45">
        <v>57.2</v>
      </c>
      <c r="I273" s="34"/>
      <c r="J273" s="26">
        <f t="shared" si="26"/>
        <v>57.2</v>
      </c>
      <c r="K273" s="33"/>
      <c r="L273" s="33"/>
      <c r="M273" s="99">
        <f t="shared" si="27"/>
        <v>0</v>
      </c>
      <c r="N273" s="96">
        <f t="shared" ca="1" si="28"/>
        <v>0</v>
      </c>
      <c r="O273" s="97">
        <f t="shared" si="29"/>
        <v>0</v>
      </c>
      <c r="P273" s="84"/>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row>
    <row r="274" spans="2:53">
      <c r="B274" s="41" t="s">
        <v>431</v>
      </c>
      <c r="C274" s="31" t="s">
        <v>9</v>
      </c>
      <c r="D274" s="46" t="s">
        <v>483</v>
      </c>
      <c r="E274" s="47"/>
      <c r="F274" s="33"/>
      <c r="G274" s="33"/>
      <c r="H274" s="45">
        <v>1812.8</v>
      </c>
      <c r="I274" s="34"/>
      <c r="J274" s="26">
        <f t="shared" ref="J274:J318" si="30">H274-I274</f>
        <v>1812.8</v>
      </c>
      <c r="K274" s="33"/>
      <c r="L274" s="33"/>
      <c r="M274" s="99">
        <f t="shared" ref="M274:M318" si="31">DATEDIF(K274,L274,"d")</f>
        <v>0</v>
      </c>
      <c r="N274" s="96">
        <f t="shared" ref="N274:N318" ca="1" si="32">MIN(DATEDIF(K274, $L$4, "d"), M274)</f>
        <v>0</v>
      </c>
      <c r="O274" s="97">
        <f t="shared" ref="O274:O318" si="33">IF(M274=0, 0, MIN(N274/M274, 1))</f>
        <v>0</v>
      </c>
      <c r="P274" s="84"/>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row>
    <row r="275" spans="2:53">
      <c r="B275" s="41" t="s">
        <v>432</v>
      </c>
      <c r="C275" s="31" t="s">
        <v>9</v>
      </c>
      <c r="D275" s="46" t="s">
        <v>484</v>
      </c>
      <c r="E275" s="47"/>
      <c r="F275" s="33"/>
      <c r="G275" s="33"/>
      <c r="H275" s="45">
        <v>74.16</v>
      </c>
      <c r="I275" s="34"/>
      <c r="J275" s="26">
        <f t="shared" si="30"/>
        <v>74.16</v>
      </c>
      <c r="K275" s="33"/>
      <c r="L275" s="33"/>
      <c r="M275" s="99">
        <f t="shared" si="31"/>
        <v>0</v>
      </c>
      <c r="N275" s="96">
        <f t="shared" ca="1" si="32"/>
        <v>0</v>
      </c>
      <c r="O275" s="97">
        <f t="shared" si="33"/>
        <v>0</v>
      </c>
      <c r="P275" s="84"/>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row>
    <row r="276" spans="2:53">
      <c r="B276" s="41"/>
      <c r="C276" s="31" t="s">
        <v>9</v>
      </c>
      <c r="D276" s="46" t="s">
        <v>485</v>
      </c>
      <c r="E276" s="47"/>
      <c r="F276" s="33"/>
      <c r="G276" s="33"/>
      <c r="H276" s="45">
        <v>37.08</v>
      </c>
      <c r="I276" s="34"/>
      <c r="J276" s="26">
        <f t="shared" si="30"/>
        <v>37.08</v>
      </c>
      <c r="K276" s="33"/>
      <c r="L276" s="33"/>
      <c r="M276" s="99">
        <f t="shared" si="31"/>
        <v>0</v>
      </c>
      <c r="N276" s="96">
        <f t="shared" ca="1" si="32"/>
        <v>0</v>
      </c>
      <c r="O276" s="97">
        <f t="shared" si="33"/>
        <v>0</v>
      </c>
      <c r="P276" s="84"/>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row>
    <row r="277" spans="2:53">
      <c r="B277" s="41"/>
      <c r="C277" s="31" t="s">
        <v>9</v>
      </c>
      <c r="D277" s="46" t="s">
        <v>486</v>
      </c>
      <c r="E277" s="47"/>
      <c r="F277" s="33"/>
      <c r="G277" s="33"/>
      <c r="H277" s="45">
        <v>74.16</v>
      </c>
      <c r="I277" s="34"/>
      <c r="J277" s="26">
        <f t="shared" si="30"/>
        <v>74.16</v>
      </c>
      <c r="K277" s="33"/>
      <c r="L277" s="33"/>
      <c r="M277" s="99">
        <f t="shared" si="31"/>
        <v>0</v>
      </c>
      <c r="N277" s="96">
        <f t="shared" ca="1" si="32"/>
        <v>0</v>
      </c>
      <c r="O277" s="97">
        <f t="shared" si="33"/>
        <v>0</v>
      </c>
      <c r="P277" s="84"/>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row>
    <row r="278" spans="2:53">
      <c r="B278" s="41"/>
      <c r="C278" s="31" t="s">
        <v>9</v>
      </c>
      <c r="D278" s="46" t="s">
        <v>487</v>
      </c>
      <c r="E278" s="47"/>
      <c r="F278" s="33"/>
      <c r="G278" s="33"/>
      <c r="H278" s="45">
        <v>92.699999999999989</v>
      </c>
      <c r="I278" s="34"/>
      <c r="J278" s="26">
        <f t="shared" si="30"/>
        <v>92.699999999999989</v>
      </c>
      <c r="K278" s="33"/>
      <c r="L278" s="33"/>
      <c r="M278" s="99">
        <f t="shared" si="31"/>
        <v>0</v>
      </c>
      <c r="N278" s="96">
        <f t="shared" ca="1" si="32"/>
        <v>0</v>
      </c>
      <c r="O278" s="97">
        <f t="shared" si="33"/>
        <v>0</v>
      </c>
      <c r="P278" s="84"/>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row>
    <row r="279" spans="2:53">
      <c r="B279" s="41"/>
      <c r="C279" s="31" t="s">
        <v>9</v>
      </c>
      <c r="D279" s="46" t="s">
        <v>488</v>
      </c>
      <c r="E279" s="47"/>
      <c r="F279" s="33"/>
      <c r="G279" s="33"/>
      <c r="H279" s="45">
        <v>92.699999999999989</v>
      </c>
      <c r="I279" s="34"/>
      <c r="J279" s="26">
        <f t="shared" si="30"/>
        <v>92.699999999999989</v>
      </c>
      <c r="K279" s="33"/>
      <c r="L279" s="33"/>
      <c r="M279" s="99">
        <f t="shared" si="31"/>
        <v>0</v>
      </c>
      <c r="N279" s="96">
        <f t="shared" ca="1" si="32"/>
        <v>0</v>
      </c>
      <c r="O279" s="97">
        <f t="shared" si="33"/>
        <v>0</v>
      </c>
      <c r="P279" s="84"/>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row>
    <row r="280" spans="2:53">
      <c r="B280" s="41"/>
      <c r="C280" s="31" t="s">
        <v>9</v>
      </c>
      <c r="D280" s="46" t="s">
        <v>489</v>
      </c>
      <c r="E280" s="47"/>
      <c r="F280" s="33"/>
      <c r="G280" s="33"/>
      <c r="H280" s="45">
        <v>148.32</v>
      </c>
      <c r="I280" s="34"/>
      <c r="J280" s="26">
        <f t="shared" si="30"/>
        <v>148.32</v>
      </c>
      <c r="K280" s="33"/>
      <c r="L280" s="33"/>
      <c r="M280" s="99">
        <f t="shared" si="31"/>
        <v>0</v>
      </c>
      <c r="N280" s="96">
        <f t="shared" ca="1" si="32"/>
        <v>0</v>
      </c>
      <c r="O280" s="97">
        <f t="shared" si="33"/>
        <v>0</v>
      </c>
      <c r="P280" s="84"/>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row>
    <row r="281" spans="2:53">
      <c r="B281" s="41"/>
      <c r="C281" s="31" t="s">
        <v>9</v>
      </c>
      <c r="D281" s="46" t="s">
        <v>490</v>
      </c>
      <c r="E281" s="47"/>
      <c r="F281" s="33"/>
      <c r="G281" s="33"/>
      <c r="H281" s="45">
        <v>259.74</v>
      </c>
      <c r="I281" s="34"/>
      <c r="J281" s="26">
        <f t="shared" si="30"/>
        <v>259.74</v>
      </c>
      <c r="K281" s="33"/>
      <c r="L281" s="33"/>
      <c r="M281" s="99">
        <f t="shared" si="31"/>
        <v>0</v>
      </c>
      <c r="N281" s="96">
        <f t="shared" ca="1" si="32"/>
        <v>0</v>
      </c>
      <c r="O281" s="97">
        <f t="shared" si="33"/>
        <v>0</v>
      </c>
      <c r="P281" s="84"/>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row>
    <row r="282" spans="2:53">
      <c r="B282" s="41"/>
      <c r="C282" s="31" t="s">
        <v>9</v>
      </c>
      <c r="D282" s="46" t="s">
        <v>491</v>
      </c>
      <c r="E282" s="47"/>
      <c r="F282" s="33"/>
      <c r="G282" s="33"/>
      <c r="H282" s="45">
        <v>259.74</v>
      </c>
      <c r="I282" s="34"/>
      <c r="J282" s="26">
        <f t="shared" si="30"/>
        <v>259.74</v>
      </c>
      <c r="K282" s="33"/>
      <c r="L282" s="33"/>
      <c r="M282" s="99">
        <f t="shared" si="31"/>
        <v>0</v>
      </c>
      <c r="N282" s="96">
        <f t="shared" ca="1" si="32"/>
        <v>0</v>
      </c>
      <c r="O282" s="97">
        <f t="shared" si="33"/>
        <v>0</v>
      </c>
      <c r="P282" s="84"/>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row>
    <row r="283" spans="2:53">
      <c r="B283" s="41"/>
      <c r="C283" s="31" t="s">
        <v>9</v>
      </c>
      <c r="D283" s="46" t="s">
        <v>492</v>
      </c>
      <c r="E283" s="47"/>
      <c r="F283" s="33"/>
      <c r="G283" s="33"/>
      <c r="H283" s="45">
        <v>259.74</v>
      </c>
      <c r="I283" s="34"/>
      <c r="J283" s="26">
        <f t="shared" si="30"/>
        <v>259.74</v>
      </c>
      <c r="K283" s="33"/>
      <c r="L283" s="33"/>
      <c r="M283" s="99">
        <f t="shared" si="31"/>
        <v>0</v>
      </c>
      <c r="N283" s="96">
        <f t="shared" ca="1" si="32"/>
        <v>0</v>
      </c>
      <c r="O283" s="97">
        <f t="shared" si="33"/>
        <v>0</v>
      </c>
      <c r="P283" s="84"/>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row>
    <row r="284" spans="2:53">
      <c r="B284" s="41"/>
      <c r="C284" s="31" t="s">
        <v>9</v>
      </c>
      <c r="D284" s="46" t="s">
        <v>493</v>
      </c>
      <c r="E284" s="47"/>
      <c r="F284" s="33"/>
      <c r="G284" s="33"/>
      <c r="H284" s="45">
        <v>259.74</v>
      </c>
      <c r="I284" s="34"/>
      <c r="J284" s="26">
        <f t="shared" si="30"/>
        <v>259.74</v>
      </c>
      <c r="K284" s="33"/>
      <c r="L284" s="33"/>
      <c r="M284" s="99">
        <f t="shared" si="31"/>
        <v>0</v>
      </c>
      <c r="N284" s="96">
        <f t="shared" ca="1" si="32"/>
        <v>0</v>
      </c>
      <c r="O284" s="97">
        <f t="shared" si="33"/>
        <v>0</v>
      </c>
      <c r="P284" s="84"/>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row>
    <row r="285" spans="2:53">
      <c r="B285" s="41" t="s">
        <v>433</v>
      </c>
      <c r="C285" s="31" t="s">
        <v>9</v>
      </c>
      <c r="D285" s="46" t="s">
        <v>494</v>
      </c>
      <c r="E285" s="47"/>
      <c r="F285" s="33"/>
      <c r="G285" s="33"/>
      <c r="H285" s="45">
        <v>884</v>
      </c>
      <c r="I285" s="34"/>
      <c r="J285" s="26">
        <f t="shared" si="30"/>
        <v>884</v>
      </c>
      <c r="K285" s="33"/>
      <c r="L285" s="33"/>
      <c r="M285" s="99">
        <f t="shared" si="31"/>
        <v>0</v>
      </c>
      <c r="N285" s="96">
        <f t="shared" ca="1" si="32"/>
        <v>0</v>
      </c>
      <c r="O285" s="97">
        <f t="shared" si="33"/>
        <v>0</v>
      </c>
      <c r="P285" s="84"/>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row>
    <row r="286" spans="2:53">
      <c r="B286" s="41"/>
      <c r="C286" s="31" t="s">
        <v>9</v>
      </c>
      <c r="D286" s="46" t="s">
        <v>495</v>
      </c>
      <c r="E286" s="47"/>
      <c r="F286" s="33"/>
      <c r="G286" s="33"/>
      <c r="H286" s="45">
        <v>338</v>
      </c>
      <c r="I286" s="34"/>
      <c r="J286" s="26">
        <f t="shared" si="30"/>
        <v>338</v>
      </c>
      <c r="K286" s="33"/>
      <c r="L286" s="33"/>
      <c r="M286" s="99">
        <f t="shared" si="31"/>
        <v>0</v>
      </c>
      <c r="N286" s="96">
        <f t="shared" ca="1" si="32"/>
        <v>0</v>
      </c>
      <c r="O286" s="97">
        <f t="shared" si="33"/>
        <v>0</v>
      </c>
      <c r="P286" s="84"/>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row>
    <row r="287" spans="2:53">
      <c r="B287" s="41"/>
      <c r="C287" s="31" t="s">
        <v>9</v>
      </c>
      <c r="D287" s="46" t="s">
        <v>496</v>
      </c>
      <c r="E287" s="47"/>
      <c r="F287" s="33"/>
      <c r="G287" s="33"/>
      <c r="H287" s="45">
        <v>1747.2</v>
      </c>
      <c r="I287" s="34"/>
      <c r="J287" s="26">
        <f t="shared" si="30"/>
        <v>1747.2</v>
      </c>
      <c r="K287" s="33"/>
      <c r="L287" s="33"/>
      <c r="M287" s="99">
        <f t="shared" si="31"/>
        <v>0</v>
      </c>
      <c r="N287" s="96">
        <f t="shared" ca="1" si="32"/>
        <v>0</v>
      </c>
      <c r="O287" s="97">
        <f t="shared" si="33"/>
        <v>0</v>
      </c>
      <c r="P287" s="84"/>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row>
    <row r="288" spans="2:53">
      <c r="B288" s="41" t="s">
        <v>434</v>
      </c>
      <c r="C288" s="31" t="s">
        <v>9</v>
      </c>
      <c r="D288" s="46" t="s">
        <v>497</v>
      </c>
      <c r="E288" s="47"/>
      <c r="F288" s="33"/>
      <c r="G288" s="33"/>
      <c r="H288" s="45">
        <v>6500</v>
      </c>
      <c r="I288" s="34"/>
      <c r="J288" s="26">
        <f t="shared" si="30"/>
        <v>6500</v>
      </c>
      <c r="K288" s="33"/>
      <c r="L288" s="33"/>
      <c r="M288" s="99">
        <f t="shared" si="31"/>
        <v>0</v>
      </c>
      <c r="N288" s="96">
        <f t="shared" ca="1" si="32"/>
        <v>0</v>
      </c>
      <c r="O288" s="97">
        <f t="shared" si="33"/>
        <v>0</v>
      </c>
      <c r="P288" s="84"/>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row>
    <row r="289" spans="2:53">
      <c r="B289" s="41" t="s">
        <v>435</v>
      </c>
      <c r="C289" s="31" t="s">
        <v>9</v>
      </c>
      <c r="D289" s="46" t="s">
        <v>498</v>
      </c>
      <c r="E289" s="47"/>
      <c r="F289" s="33"/>
      <c r="G289" s="33"/>
      <c r="H289" s="45">
        <v>7800</v>
      </c>
      <c r="I289" s="34"/>
      <c r="J289" s="26">
        <f t="shared" si="30"/>
        <v>7800</v>
      </c>
      <c r="K289" s="33"/>
      <c r="L289" s="33"/>
      <c r="M289" s="99">
        <f t="shared" si="31"/>
        <v>0</v>
      </c>
      <c r="N289" s="96">
        <f t="shared" ca="1" si="32"/>
        <v>0</v>
      </c>
      <c r="O289" s="97">
        <f t="shared" si="33"/>
        <v>0</v>
      </c>
      <c r="P289" s="84"/>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row>
    <row r="290" spans="2:53">
      <c r="B290" s="41" t="s">
        <v>435</v>
      </c>
      <c r="C290" s="31" t="s">
        <v>9</v>
      </c>
      <c r="D290" s="46" t="s">
        <v>499</v>
      </c>
      <c r="E290" s="47"/>
      <c r="F290" s="33"/>
      <c r="G290" s="33"/>
      <c r="H290" s="45">
        <v>3536</v>
      </c>
      <c r="I290" s="34"/>
      <c r="J290" s="26">
        <f t="shared" si="30"/>
        <v>3536</v>
      </c>
      <c r="K290" s="33"/>
      <c r="L290" s="33"/>
      <c r="M290" s="99">
        <f t="shared" si="31"/>
        <v>0</v>
      </c>
      <c r="N290" s="96">
        <f t="shared" ca="1" si="32"/>
        <v>0</v>
      </c>
      <c r="O290" s="97">
        <f t="shared" si="33"/>
        <v>0</v>
      </c>
      <c r="P290" s="84"/>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row>
    <row r="291" spans="2:53">
      <c r="B291" s="41" t="s">
        <v>436</v>
      </c>
      <c r="C291" s="31" t="s">
        <v>9</v>
      </c>
      <c r="D291" s="46" t="s">
        <v>500</v>
      </c>
      <c r="E291" s="47"/>
      <c r="F291" s="33"/>
      <c r="G291" s="33"/>
      <c r="H291" s="45">
        <v>1352</v>
      </c>
      <c r="I291" s="34"/>
      <c r="J291" s="26">
        <f t="shared" si="30"/>
        <v>1352</v>
      </c>
      <c r="K291" s="33"/>
      <c r="L291" s="33"/>
      <c r="M291" s="99">
        <f t="shared" si="31"/>
        <v>0</v>
      </c>
      <c r="N291" s="96">
        <f t="shared" ca="1" si="32"/>
        <v>0</v>
      </c>
      <c r="O291" s="97">
        <f t="shared" si="33"/>
        <v>0</v>
      </c>
      <c r="P291" s="84"/>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row>
    <row r="292" spans="2:53">
      <c r="B292" s="41"/>
      <c r="C292" s="31" t="s">
        <v>9</v>
      </c>
      <c r="D292" s="46" t="s">
        <v>501</v>
      </c>
      <c r="E292" s="47"/>
      <c r="F292" s="33"/>
      <c r="G292" s="33"/>
      <c r="H292" s="45">
        <v>936</v>
      </c>
      <c r="I292" s="34"/>
      <c r="J292" s="26">
        <f t="shared" si="30"/>
        <v>936</v>
      </c>
      <c r="K292" s="33"/>
      <c r="L292" s="33"/>
      <c r="M292" s="99">
        <f t="shared" si="31"/>
        <v>0</v>
      </c>
      <c r="N292" s="96">
        <f t="shared" ca="1" si="32"/>
        <v>0</v>
      </c>
      <c r="O292" s="97">
        <f t="shared" si="33"/>
        <v>0</v>
      </c>
      <c r="P292" s="84"/>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row>
    <row r="293" spans="2:53">
      <c r="B293" s="41" t="s">
        <v>536</v>
      </c>
      <c r="C293" s="31" t="s">
        <v>9</v>
      </c>
      <c r="D293" s="46" t="s">
        <v>503</v>
      </c>
      <c r="E293" s="47"/>
      <c r="F293" s="33"/>
      <c r="G293" s="33"/>
      <c r="H293" s="45">
        <v>0</v>
      </c>
      <c r="I293" s="34"/>
      <c r="J293" s="26">
        <f t="shared" si="30"/>
        <v>0</v>
      </c>
      <c r="K293" s="33"/>
      <c r="L293" s="33"/>
      <c r="M293" s="99">
        <f t="shared" si="31"/>
        <v>0</v>
      </c>
      <c r="N293" s="96">
        <f t="shared" ca="1" si="32"/>
        <v>0</v>
      </c>
      <c r="O293" s="97">
        <f t="shared" si="33"/>
        <v>0</v>
      </c>
      <c r="P293" s="84"/>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row>
    <row r="294" spans="2:53">
      <c r="B294" s="41"/>
      <c r="C294" s="31" t="s">
        <v>9</v>
      </c>
      <c r="D294" s="46" t="s">
        <v>504</v>
      </c>
      <c r="E294" s="47"/>
      <c r="F294" s="33"/>
      <c r="G294" s="33"/>
      <c r="H294" s="45">
        <v>0</v>
      </c>
      <c r="I294" s="34"/>
      <c r="J294" s="26">
        <f t="shared" si="30"/>
        <v>0</v>
      </c>
      <c r="K294" s="33"/>
      <c r="L294" s="33"/>
      <c r="M294" s="99">
        <f t="shared" si="31"/>
        <v>0</v>
      </c>
      <c r="N294" s="96">
        <f t="shared" ca="1" si="32"/>
        <v>0</v>
      </c>
      <c r="O294" s="97">
        <f t="shared" si="33"/>
        <v>0</v>
      </c>
      <c r="P294" s="84"/>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row>
    <row r="295" spans="2:53">
      <c r="B295" s="41"/>
      <c r="C295" s="31" t="s">
        <v>9</v>
      </c>
      <c r="D295" s="46" t="s">
        <v>505</v>
      </c>
      <c r="E295" s="47"/>
      <c r="F295" s="33"/>
      <c r="G295" s="33"/>
      <c r="H295" s="45">
        <v>0</v>
      </c>
      <c r="I295" s="34"/>
      <c r="J295" s="26">
        <f t="shared" si="30"/>
        <v>0</v>
      </c>
      <c r="K295" s="33"/>
      <c r="L295" s="33"/>
      <c r="M295" s="99">
        <f t="shared" si="31"/>
        <v>0</v>
      </c>
      <c r="N295" s="96">
        <f t="shared" ca="1" si="32"/>
        <v>0</v>
      </c>
      <c r="O295" s="97">
        <f t="shared" si="33"/>
        <v>0</v>
      </c>
      <c r="P295" s="84"/>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row>
    <row r="296" spans="2:53">
      <c r="B296" s="41"/>
      <c r="C296" s="31" t="s">
        <v>9</v>
      </c>
      <c r="D296" s="46" t="s">
        <v>506</v>
      </c>
      <c r="E296" s="47"/>
      <c r="F296" s="33"/>
      <c r="G296" s="33"/>
      <c r="H296" s="45">
        <v>0</v>
      </c>
      <c r="I296" s="34"/>
      <c r="J296" s="26">
        <f t="shared" si="30"/>
        <v>0</v>
      </c>
      <c r="K296" s="33"/>
      <c r="L296" s="33"/>
      <c r="M296" s="99">
        <f t="shared" si="31"/>
        <v>0</v>
      </c>
      <c r="N296" s="96">
        <f t="shared" ca="1" si="32"/>
        <v>0</v>
      </c>
      <c r="O296" s="97">
        <f t="shared" si="33"/>
        <v>0</v>
      </c>
      <c r="P296" s="84"/>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row>
    <row r="297" spans="2:53">
      <c r="B297" s="41"/>
      <c r="C297" s="31" t="s">
        <v>9</v>
      </c>
      <c r="D297" s="46" t="s">
        <v>507</v>
      </c>
      <c r="E297" s="47"/>
      <c r="F297" s="33"/>
      <c r="G297" s="33"/>
      <c r="H297" s="45">
        <v>0</v>
      </c>
      <c r="I297" s="34"/>
      <c r="J297" s="26">
        <f t="shared" si="30"/>
        <v>0</v>
      </c>
      <c r="K297" s="33"/>
      <c r="L297" s="33"/>
      <c r="M297" s="99">
        <f t="shared" si="31"/>
        <v>0</v>
      </c>
      <c r="N297" s="96">
        <f t="shared" ca="1" si="32"/>
        <v>0</v>
      </c>
      <c r="O297" s="97">
        <f t="shared" si="33"/>
        <v>0</v>
      </c>
      <c r="P297" s="84"/>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row>
    <row r="298" spans="2:53">
      <c r="B298" s="41"/>
      <c r="C298" s="31" t="s">
        <v>9</v>
      </c>
      <c r="D298" s="46" t="s">
        <v>508</v>
      </c>
      <c r="E298" s="47"/>
      <c r="F298" s="33"/>
      <c r="G298" s="33"/>
      <c r="H298" s="45">
        <v>0</v>
      </c>
      <c r="I298" s="34"/>
      <c r="J298" s="26">
        <f t="shared" si="30"/>
        <v>0</v>
      </c>
      <c r="K298" s="33"/>
      <c r="L298" s="33"/>
      <c r="M298" s="99">
        <f t="shared" si="31"/>
        <v>0</v>
      </c>
      <c r="N298" s="96">
        <f t="shared" ca="1" si="32"/>
        <v>0</v>
      </c>
      <c r="O298" s="97">
        <f t="shared" si="33"/>
        <v>0</v>
      </c>
      <c r="P298" s="84"/>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row>
    <row r="299" spans="2:53">
      <c r="B299" s="41"/>
      <c r="C299" s="31" t="s">
        <v>9</v>
      </c>
      <c r="D299" s="46" t="s">
        <v>509</v>
      </c>
      <c r="E299" s="47"/>
      <c r="F299" s="33"/>
      <c r="G299" s="33"/>
      <c r="H299" s="45">
        <v>0</v>
      </c>
      <c r="I299" s="34"/>
      <c r="J299" s="26">
        <f t="shared" si="30"/>
        <v>0</v>
      </c>
      <c r="K299" s="33"/>
      <c r="L299" s="33"/>
      <c r="M299" s="99">
        <f t="shared" si="31"/>
        <v>0</v>
      </c>
      <c r="N299" s="96">
        <f t="shared" ca="1" si="32"/>
        <v>0</v>
      </c>
      <c r="O299" s="97">
        <f t="shared" si="33"/>
        <v>0</v>
      </c>
      <c r="P299" s="84"/>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row>
    <row r="300" spans="2:53">
      <c r="B300" s="41"/>
      <c r="C300" s="31" t="s">
        <v>9</v>
      </c>
      <c r="D300" s="46" t="s">
        <v>510</v>
      </c>
      <c r="E300" s="47"/>
      <c r="F300" s="33"/>
      <c r="G300" s="33"/>
      <c r="H300" s="45">
        <v>0</v>
      </c>
      <c r="I300" s="34"/>
      <c r="J300" s="26">
        <f t="shared" si="30"/>
        <v>0</v>
      </c>
      <c r="K300" s="33"/>
      <c r="L300" s="33"/>
      <c r="M300" s="99">
        <f t="shared" si="31"/>
        <v>0</v>
      </c>
      <c r="N300" s="96">
        <f t="shared" ca="1" si="32"/>
        <v>0</v>
      </c>
      <c r="O300" s="97">
        <f t="shared" si="33"/>
        <v>0</v>
      </c>
      <c r="P300" s="84"/>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row>
    <row r="301" spans="2:53">
      <c r="B301" s="41"/>
      <c r="C301" s="31" t="s">
        <v>9</v>
      </c>
      <c r="D301" s="46" t="s">
        <v>511</v>
      </c>
      <c r="E301" s="47"/>
      <c r="F301" s="33"/>
      <c r="G301" s="33"/>
      <c r="H301" s="45">
        <v>0</v>
      </c>
      <c r="I301" s="34"/>
      <c r="J301" s="26">
        <f t="shared" si="30"/>
        <v>0</v>
      </c>
      <c r="K301" s="33"/>
      <c r="L301" s="33"/>
      <c r="M301" s="99">
        <f t="shared" si="31"/>
        <v>0</v>
      </c>
      <c r="N301" s="96">
        <f t="shared" ca="1" si="32"/>
        <v>0</v>
      </c>
      <c r="O301" s="97">
        <f t="shared" si="33"/>
        <v>0</v>
      </c>
      <c r="P301" s="84"/>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row>
    <row r="302" spans="2:53">
      <c r="B302" s="41"/>
      <c r="C302" s="31" t="s">
        <v>9</v>
      </c>
      <c r="D302" s="46" t="s">
        <v>512</v>
      </c>
      <c r="E302" s="47"/>
      <c r="F302" s="33"/>
      <c r="G302" s="33"/>
      <c r="H302" s="45">
        <v>0</v>
      </c>
      <c r="I302" s="34"/>
      <c r="J302" s="26">
        <f t="shared" si="30"/>
        <v>0</v>
      </c>
      <c r="K302" s="33"/>
      <c r="L302" s="33"/>
      <c r="M302" s="99">
        <f t="shared" si="31"/>
        <v>0</v>
      </c>
      <c r="N302" s="96">
        <f t="shared" ca="1" si="32"/>
        <v>0</v>
      </c>
      <c r="O302" s="97">
        <f t="shared" si="33"/>
        <v>0</v>
      </c>
      <c r="P302" s="84"/>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row>
    <row r="303" spans="2:53">
      <c r="B303" s="41"/>
      <c r="C303" s="31" t="s">
        <v>9</v>
      </c>
      <c r="D303" s="46" t="s">
        <v>513</v>
      </c>
      <c r="E303" s="47"/>
      <c r="F303" s="33"/>
      <c r="G303" s="33"/>
      <c r="H303" s="45">
        <v>0</v>
      </c>
      <c r="I303" s="34"/>
      <c r="J303" s="26">
        <f t="shared" si="30"/>
        <v>0</v>
      </c>
      <c r="K303" s="33"/>
      <c r="L303" s="33"/>
      <c r="M303" s="99">
        <f t="shared" si="31"/>
        <v>0</v>
      </c>
      <c r="N303" s="96">
        <f t="shared" ca="1" si="32"/>
        <v>0</v>
      </c>
      <c r="O303" s="97">
        <f t="shared" si="33"/>
        <v>0</v>
      </c>
      <c r="P303" s="84"/>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row>
    <row r="304" spans="2:53">
      <c r="B304" s="41"/>
      <c r="C304" s="31" t="s">
        <v>9</v>
      </c>
      <c r="D304" s="46" t="s">
        <v>514</v>
      </c>
      <c r="E304" s="47"/>
      <c r="F304" s="33"/>
      <c r="G304" s="33"/>
      <c r="H304" s="45">
        <v>0</v>
      </c>
      <c r="I304" s="34"/>
      <c r="J304" s="26">
        <f t="shared" si="30"/>
        <v>0</v>
      </c>
      <c r="K304" s="33"/>
      <c r="L304" s="33"/>
      <c r="M304" s="99">
        <f t="shared" si="31"/>
        <v>0</v>
      </c>
      <c r="N304" s="96">
        <f t="shared" ca="1" si="32"/>
        <v>0</v>
      </c>
      <c r="O304" s="97">
        <f t="shared" si="33"/>
        <v>0</v>
      </c>
      <c r="P304" s="84"/>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row>
    <row r="305" spans="2:53">
      <c r="B305" s="41"/>
      <c r="C305" s="31" t="s">
        <v>9</v>
      </c>
      <c r="D305" s="46" t="s">
        <v>515</v>
      </c>
      <c r="E305" s="47"/>
      <c r="F305" s="33"/>
      <c r="G305" s="33"/>
      <c r="H305" s="45">
        <v>0</v>
      </c>
      <c r="I305" s="34"/>
      <c r="J305" s="26">
        <f t="shared" si="30"/>
        <v>0</v>
      </c>
      <c r="K305" s="33"/>
      <c r="L305" s="33"/>
      <c r="M305" s="99">
        <f t="shared" si="31"/>
        <v>0</v>
      </c>
      <c r="N305" s="96">
        <f t="shared" ca="1" si="32"/>
        <v>0</v>
      </c>
      <c r="O305" s="97">
        <f t="shared" si="33"/>
        <v>0</v>
      </c>
      <c r="P305" s="84"/>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row>
    <row r="306" spans="2:53">
      <c r="B306" s="41"/>
      <c r="C306" s="31" t="s">
        <v>9</v>
      </c>
      <c r="D306" s="46" t="s">
        <v>516</v>
      </c>
      <c r="E306" s="47"/>
      <c r="F306" s="33"/>
      <c r="G306" s="33"/>
      <c r="H306" s="45">
        <v>0</v>
      </c>
      <c r="I306" s="34"/>
      <c r="J306" s="26">
        <f t="shared" si="30"/>
        <v>0</v>
      </c>
      <c r="K306" s="33"/>
      <c r="L306" s="33"/>
      <c r="M306" s="99">
        <f t="shared" si="31"/>
        <v>0</v>
      </c>
      <c r="N306" s="96">
        <f t="shared" ca="1" si="32"/>
        <v>0</v>
      </c>
      <c r="O306" s="97">
        <f t="shared" si="33"/>
        <v>0</v>
      </c>
      <c r="P306" s="84"/>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row>
    <row r="307" spans="2:53">
      <c r="B307" s="41" t="s">
        <v>537</v>
      </c>
      <c r="C307" s="31" t="s">
        <v>9</v>
      </c>
      <c r="D307" s="46" t="s">
        <v>517</v>
      </c>
      <c r="E307" s="47"/>
      <c r="F307" s="33"/>
      <c r="G307" s="33"/>
      <c r="H307" s="45">
        <v>1440.4</v>
      </c>
      <c r="I307" s="34"/>
      <c r="J307" s="26">
        <f t="shared" si="30"/>
        <v>1440.4</v>
      </c>
      <c r="K307" s="33"/>
      <c r="L307" s="33"/>
      <c r="M307" s="99">
        <f t="shared" si="31"/>
        <v>0</v>
      </c>
      <c r="N307" s="96">
        <f t="shared" ca="1" si="32"/>
        <v>0</v>
      </c>
      <c r="O307" s="97">
        <f t="shared" si="33"/>
        <v>0</v>
      </c>
      <c r="P307" s="84"/>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row>
    <row r="308" spans="2:53">
      <c r="B308" s="41"/>
      <c r="C308" s="31" t="s">
        <v>9</v>
      </c>
      <c r="D308" s="46" t="s">
        <v>518</v>
      </c>
      <c r="E308" s="47"/>
      <c r="F308" s="33"/>
      <c r="G308" s="33"/>
      <c r="H308" s="45">
        <v>1086.8</v>
      </c>
      <c r="I308" s="34"/>
      <c r="J308" s="26">
        <f t="shared" si="30"/>
        <v>1086.8</v>
      </c>
      <c r="K308" s="33"/>
      <c r="L308" s="33"/>
      <c r="M308" s="99">
        <f t="shared" si="31"/>
        <v>0</v>
      </c>
      <c r="N308" s="96">
        <f t="shared" ca="1" si="32"/>
        <v>0</v>
      </c>
      <c r="O308" s="97">
        <f t="shared" si="33"/>
        <v>0</v>
      </c>
      <c r="P308" s="84"/>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row>
    <row r="309" spans="2:53">
      <c r="B309" s="41"/>
      <c r="C309" s="31" t="s">
        <v>9</v>
      </c>
      <c r="D309" s="46" t="s">
        <v>519</v>
      </c>
      <c r="E309" s="47"/>
      <c r="F309" s="33"/>
      <c r="G309" s="33"/>
      <c r="H309" s="45">
        <v>652.08000000000004</v>
      </c>
      <c r="I309" s="34"/>
      <c r="J309" s="26">
        <f t="shared" si="30"/>
        <v>652.08000000000004</v>
      </c>
      <c r="K309" s="33"/>
      <c r="L309" s="33"/>
      <c r="M309" s="99">
        <f t="shared" si="31"/>
        <v>0</v>
      </c>
      <c r="N309" s="96">
        <f t="shared" ca="1" si="32"/>
        <v>0</v>
      </c>
      <c r="O309" s="97">
        <f t="shared" si="33"/>
        <v>0</v>
      </c>
      <c r="P309" s="84"/>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row>
    <row r="310" spans="2:53">
      <c r="B310" s="41"/>
      <c r="C310" s="31" t="s">
        <v>9</v>
      </c>
      <c r="D310" s="46" t="s">
        <v>520</v>
      </c>
      <c r="E310" s="47"/>
      <c r="F310" s="33"/>
      <c r="G310" s="33"/>
      <c r="H310" s="45">
        <v>326.04000000000002</v>
      </c>
      <c r="I310" s="34"/>
      <c r="J310" s="26">
        <f t="shared" si="30"/>
        <v>326.04000000000002</v>
      </c>
      <c r="K310" s="33"/>
      <c r="L310" s="33"/>
      <c r="M310" s="99">
        <f t="shared" si="31"/>
        <v>0</v>
      </c>
      <c r="N310" s="96">
        <f t="shared" ca="1" si="32"/>
        <v>0</v>
      </c>
      <c r="O310" s="97">
        <f t="shared" si="33"/>
        <v>0</v>
      </c>
      <c r="P310" s="84"/>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row>
    <row r="311" spans="2:53">
      <c r="B311" s="41"/>
      <c r="C311" s="31" t="s">
        <v>9</v>
      </c>
      <c r="D311" s="46" t="s">
        <v>521</v>
      </c>
      <c r="E311" s="47"/>
      <c r="F311" s="33"/>
      <c r="G311" s="33"/>
      <c r="H311" s="45">
        <v>2745.6</v>
      </c>
      <c r="I311" s="34"/>
      <c r="J311" s="26">
        <f t="shared" si="30"/>
        <v>2745.6</v>
      </c>
      <c r="K311" s="33"/>
      <c r="L311" s="33"/>
      <c r="M311" s="99">
        <f t="shared" si="31"/>
        <v>0</v>
      </c>
      <c r="N311" s="96">
        <f t="shared" ca="1" si="32"/>
        <v>0</v>
      </c>
      <c r="O311" s="97">
        <f t="shared" si="33"/>
        <v>0</v>
      </c>
      <c r="P311" s="84"/>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row>
    <row r="312" spans="2:53">
      <c r="B312" s="41"/>
      <c r="C312" s="31" t="s">
        <v>9</v>
      </c>
      <c r="D312" s="46" t="s">
        <v>522</v>
      </c>
      <c r="E312" s="47"/>
      <c r="F312" s="33"/>
      <c r="G312" s="33"/>
      <c r="H312" s="45">
        <v>1647.36</v>
      </c>
      <c r="I312" s="34"/>
      <c r="J312" s="26">
        <f t="shared" si="30"/>
        <v>1647.36</v>
      </c>
      <c r="K312" s="33"/>
      <c r="L312" s="33"/>
      <c r="M312" s="99">
        <f t="shared" si="31"/>
        <v>0</v>
      </c>
      <c r="N312" s="96">
        <f t="shared" ca="1" si="32"/>
        <v>0</v>
      </c>
      <c r="O312" s="97">
        <f t="shared" si="33"/>
        <v>0</v>
      </c>
      <c r="P312" s="84"/>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row>
    <row r="313" spans="2:53">
      <c r="B313" s="41"/>
      <c r="C313" s="31" t="s">
        <v>9</v>
      </c>
      <c r="D313" s="46" t="s">
        <v>523</v>
      </c>
      <c r="E313" s="47"/>
      <c r="F313" s="33"/>
      <c r="G313" s="33"/>
      <c r="H313" s="45">
        <v>823.68</v>
      </c>
      <c r="I313" s="34"/>
      <c r="J313" s="26">
        <f t="shared" si="30"/>
        <v>823.68</v>
      </c>
      <c r="K313" s="33"/>
      <c r="L313" s="33"/>
      <c r="M313" s="99">
        <f t="shared" si="31"/>
        <v>0</v>
      </c>
      <c r="N313" s="96">
        <f t="shared" ca="1" si="32"/>
        <v>0</v>
      </c>
      <c r="O313" s="97">
        <f t="shared" si="33"/>
        <v>0</v>
      </c>
      <c r="P313" s="84"/>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row>
    <row r="314" spans="2:53">
      <c r="B314" s="41"/>
      <c r="C314" s="31" t="s">
        <v>9</v>
      </c>
      <c r="D314" s="46" t="s">
        <v>524</v>
      </c>
      <c r="E314" s="47"/>
      <c r="F314" s="33"/>
      <c r="G314" s="33"/>
      <c r="H314" s="45">
        <v>686.4</v>
      </c>
      <c r="I314" s="34"/>
      <c r="J314" s="26">
        <f t="shared" si="30"/>
        <v>686.4</v>
      </c>
      <c r="K314" s="33"/>
      <c r="L314" s="33"/>
      <c r="M314" s="99">
        <f t="shared" si="31"/>
        <v>0</v>
      </c>
      <c r="N314" s="96">
        <f t="shared" ca="1" si="32"/>
        <v>0</v>
      </c>
      <c r="O314" s="97">
        <f t="shared" si="33"/>
        <v>0</v>
      </c>
      <c r="P314" s="84"/>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row>
    <row r="315" spans="2:53">
      <c r="B315" s="41"/>
      <c r="C315" s="31" t="s">
        <v>9</v>
      </c>
      <c r="D315" s="46" t="s">
        <v>525</v>
      </c>
      <c r="E315" s="47"/>
      <c r="F315" s="33"/>
      <c r="G315" s="33"/>
      <c r="H315" s="45">
        <v>411.84</v>
      </c>
      <c r="I315" s="34"/>
      <c r="J315" s="26">
        <f t="shared" si="30"/>
        <v>411.84</v>
      </c>
      <c r="K315" s="33"/>
      <c r="L315" s="33"/>
      <c r="M315" s="99">
        <f t="shared" si="31"/>
        <v>0</v>
      </c>
      <c r="N315" s="96">
        <f t="shared" ca="1" si="32"/>
        <v>0</v>
      </c>
      <c r="O315" s="97">
        <f t="shared" si="33"/>
        <v>0</v>
      </c>
      <c r="P315" s="84"/>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row>
    <row r="316" spans="2:53">
      <c r="B316" s="41"/>
      <c r="C316" s="31" t="s">
        <v>9</v>
      </c>
      <c r="D316" s="46" t="s">
        <v>526</v>
      </c>
      <c r="E316" s="47"/>
      <c r="F316" s="33"/>
      <c r="G316" s="33"/>
      <c r="H316" s="45">
        <v>205.92</v>
      </c>
      <c r="I316" s="34"/>
      <c r="J316" s="26">
        <f t="shared" si="30"/>
        <v>205.92</v>
      </c>
      <c r="K316" s="33"/>
      <c r="L316" s="33"/>
      <c r="M316" s="99">
        <f t="shared" si="31"/>
        <v>0</v>
      </c>
      <c r="N316" s="96">
        <f t="shared" ca="1" si="32"/>
        <v>0</v>
      </c>
      <c r="O316" s="97">
        <f t="shared" si="33"/>
        <v>0</v>
      </c>
      <c r="P316" s="84"/>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row>
    <row r="317" spans="2:53">
      <c r="B317" s="41"/>
      <c r="C317" s="31" t="s">
        <v>9</v>
      </c>
      <c r="D317" s="46" t="s">
        <v>527</v>
      </c>
      <c r="E317" s="47"/>
      <c r="F317" s="33"/>
      <c r="G317" s="33"/>
      <c r="H317" s="45">
        <v>915.2</v>
      </c>
      <c r="I317" s="34"/>
      <c r="J317" s="26">
        <f t="shared" si="30"/>
        <v>915.2</v>
      </c>
      <c r="K317" s="33"/>
      <c r="L317" s="33"/>
      <c r="M317" s="99">
        <f t="shared" si="31"/>
        <v>0</v>
      </c>
      <c r="N317" s="96">
        <f t="shared" ca="1" si="32"/>
        <v>0</v>
      </c>
      <c r="O317" s="97">
        <f t="shared" si="33"/>
        <v>0</v>
      </c>
      <c r="P317" s="84"/>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row>
    <row r="318" spans="2:53">
      <c r="B318" s="41"/>
      <c r="C318" s="31" t="s">
        <v>9</v>
      </c>
      <c r="D318" s="46" t="s">
        <v>528</v>
      </c>
      <c r="E318" s="47"/>
      <c r="F318" s="33"/>
      <c r="G318" s="33"/>
      <c r="H318" s="45">
        <v>549.12</v>
      </c>
      <c r="I318" s="34"/>
      <c r="J318" s="26">
        <f t="shared" si="30"/>
        <v>549.12</v>
      </c>
      <c r="K318" s="33"/>
      <c r="L318" s="33"/>
      <c r="M318" s="99">
        <f t="shared" si="31"/>
        <v>0</v>
      </c>
      <c r="N318" s="96">
        <f t="shared" ca="1" si="32"/>
        <v>0</v>
      </c>
      <c r="O318" s="97">
        <f t="shared" si="33"/>
        <v>0</v>
      </c>
      <c r="P318" s="84"/>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row>
    <row r="319" spans="2:53">
      <c r="B319" s="41"/>
      <c r="C319" s="31" t="s">
        <v>9</v>
      </c>
      <c r="D319" s="46" t="s">
        <v>529</v>
      </c>
      <c r="E319" s="47"/>
      <c r="F319" s="33"/>
      <c r="G319" s="33"/>
      <c r="H319" s="45">
        <v>274.56</v>
      </c>
      <c r="I319" s="34"/>
      <c r="J319" s="26">
        <f t="shared" ref="J319:J370" si="34">H319-I319</f>
        <v>274.56</v>
      </c>
      <c r="K319" s="33"/>
      <c r="L319" s="33"/>
      <c r="M319" s="99">
        <f t="shared" ref="M319:M370" si="35">DATEDIF(K319,L319,"d")</f>
        <v>0</v>
      </c>
      <c r="N319" s="96">
        <f t="shared" ref="N319:N370" ca="1" si="36">MIN(DATEDIF(K319, $L$4, "d"), M319)</f>
        <v>0</v>
      </c>
      <c r="O319" s="97">
        <f t="shared" ref="O319:O370" si="37">IF(M319=0, 0, MIN(N319/M319, 1))</f>
        <v>0</v>
      </c>
      <c r="P319" s="84"/>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row>
    <row r="320" spans="2:53">
      <c r="B320" s="41"/>
      <c r="C320" s="31" t="s">
        <v>9</v>
      </c>
      <c r="D320" s="46" t="s">
        <v>530</v>
      </c>
      <c r="E320" s="47"/>
      <c r="F320" s="33"/>
      <c r="G320" s="33"/>
      <c r="H320" s="45">
        <v>915.2</v>
      </c>
      <c r="I320" s="34"/>
      <c r="J320" s="26">
        <f t="shared" si="34"/>
        <v>915.2</v>
      </c>
      <c r="K320" s="33"/>
      <c r="L320" s="33"/>
      <c r="M320" s="99">
        <f t="shared" si="35"/>
        <v>0</v>
      </c>
      <c r="N320" s="96">
        <f t="shared" ca="1" si="36"/>
        <v>0</v>
      </c>
      <c r="O320" s="97">
        <f t="shared" si="37"/>
        <v>0</v>
      </c>
      <c r="P320" s="84"/>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row>
    <row r="321" spans="2:53">
      <c r="B321" s="41"/>
      <c r="C321" s="31" t="s">
        <v>9</v>
      </c>
      <c r="D321" s="46" t="s">
        <v>531</v>
      </c>
      <c r="E321" s="47"/>
      <c r="F321" s="33"/>
      <c r="G321" s="33"/>
      <c r="H321" s="45">
        <v>549.12</v>
      </c>
      <c r="I321" s="34"/>
      <c r="J321" s="26">
        <f t="shared" si="34"/>
        <v>549.12</v>
      </c>
      <c r="K321" s="33"/>
      <c r="L321" s="33"/>
      <c r="M321" s="99">
        <f t="shared" si="35"/>
        <v>0</v>
      </c>
      <c r="N321" s="96">
        <f t="shared" ca="1" si="36"/>
        <v>0</v>
      </c>
      <c r="O321" s="97">
        <f t="shared" si="37"/>
        <v>0</v>
      </c>
      <c r="P321" s="84"/>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row>
    <row r="322" spans="2:53">
      <c r="B322" s="41"/>
      <c r="C322" s="31" t="s">
        <v>9</v>
      </c>
      <c r="D322" s="46" t="s">
        <v>532</v>
      </c>
      <c r="E322" s="47"/>
      <c r="F322" s="33"/>
      <c r="G322" s="33"/>
      <c r="H322" s="45">
        <v>274.56</v>
      </c>
      <c r="I322" s="34"/>
      <c r="J322" s="26">
        <f t="shared" si="34"/>
        <v>274.56</v>
      </c>
      <c r="K322" s="33"/>
      <c r="L322" s="33"/>
      <c r="M322" s="99">
        <f t="shared" si="35"/>
        <v>0</v>
      </c>
      <c r="N322" s="96">
        <f t="shared" ca="1" si="36"/>
        <v>0</v>
      </c>
      <c r="O322" s="97">
        <f t="shared" si="37"/>
        <v>0</v>
      </c>
      <c r="P322" s="84"/>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row>
    <row r="323" spans="2:53">
      <c r="B323" s="41" t="s">
        <v>538</v>
      </c>
      <c r="C323" s="31" t="s">
        <v>9</v>
      </c>
      <c r="D323" s="46" t="s">
        <v>533</v>
      </c>
      <c r="E323" s="47"/>
      <c r="F323" s="33"/>
      <c r="G323" s="33"/>
      <c r="H323" s="45">
        <v>2340</v>
      </c>
      <c r="I323" s="34"/>
      <c r="J323" s="26">
        <f t="shared" si="34"/>
        <v>2340</v>
      </c>
      <c r="K323" s="33"/>
      <c r="L323" s="33"/>
      <c r="M323" s="99">
        <f t="shared" si="35"/>
        <v>0</v>
      </c>
      <c r="N323" s="96">
        <f t="shared" ca="1" si="36"/>
        <v>0</v>
      </c>
      <c r="O323" s="97">
        <f t="shared" si="37"/>
        <v>0</v>
      </c>
      <c r="P323" s="84"/>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row>
    <row r="324" spans="2:53">
      <c r="B324" s="41" t="s">
        <v>539</v>
      </c>
      <c r="C324" s="31" t="s">
        <v>9</v>
      </c>
      <c r="D324" s="46" t="s">
        <v>534</v>
      </c>
      <c r="E324" s="47"/>
      <c r="F324" s="33"/>
      <c r="G324" s="33"/>
      <c r="H324" s="45">
        <v>858</v>
      </c>
      <c r="I324" s="34"/>
      <c r="J324" s="26">
        <f t="shared" si="34"/>
        <v>858</v>
      </c>
      <c r="K324" s="33"/>
      <c r="L324" s="33"/>
      <c r="M324" s="99">
        <f t="shared" si="35"/>
        <v>0</v>
      </c>
      <c r="N324" s="96">
        <f t="shared" ca="1" si="36"/>
        <v>0</v>
      </c>
      <c r="O324" s="97">
        <f t="shared" si="37"/>
        <v>0</v>
      </c>
      <c r="P324" s="84"/>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row>
    <row r="325" spans="2:53">
      <c r="B325" s="41"/>
      <c r="C325" s="31" t="s">
        <v>9</v>
      </c>
      <c r="D325" s="46" t="s">
        <v>535</v>
      </c>
      <c r="E325" s="47"/>
      <c r="F325" s="33"/>
      <c r="G325" s="33"/>
      <c r="H325" s="45">
        <v>650</v>
      </c>
      <c r="I325" s="34"/>
      <c r="J325" s="26">
        <f t="shared" si="34"/>
        <v>650</v>
      </c>
      <c r="K325" s="33"/>
      <c r="L325" s="33"/>
      <c r="M325" s="99">
        <f t="shared" si="35"/>
        <v>0</v>
      </c>
      <c r="N325" s="96">
        <f t="shared" ca="1" si="36"/>
        <v>0</v>
      </c>
      <c r="O325" s="97">
        <f t="shared" si="37"/>
        <v>0</v>
      </c>
      <c r="P325" s="84"/>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row>
    <row r="326" spans="2:53">
      <c r="B326" s="41"/>
      <c r="C326" s="41"/>
      <c r="D326" s="46"/>
      <c r="E326" s="47"/>
      <c r="F326" s="33"/>
      <c r="G326" s="33"/>
      <c r="H326" s="45"/>
      <c r="I326" s="34"/>
      <c r="J326" s="26">
        <f t="shared" si="34"/>
        <v>0</v>
      </c>
      <c r="K326" s="33"/>
      <c r="L326" s="33"/>
      <c r="M326" s="99">
        <f t="shared" si="35"/>
        <v>0</v>
      </c>
      <c r="N326" s="96">
        <f t="shared" ca="1" si="36"/>
        <v>0</v>
      </c>
      <c r="O326" s="97">
        <f t="shared" si="37"/>
        <v>0</v>
      </c>
      <c r="P326" s="84"/>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row>
    <row r="327" spans="2:53">
      <c r="B327" s="41"/>
      <c r="C327" s="41"/>
      <c r="D327" s="46"/>
      <c r="E327" s="47"/>
      <c r="F327" s="33"/>
      <c r="G327" s="33"/>
      <c r="H327" s="45"/>
      <c r="I327" s="34"/>
      <c r="J327" s="26">
        <f t="shared" si="34"/>
        <v>0</v>
      </c>
      <c r="K327" s="33"/>
      <c r="L327" s="33"/>
      <c r="M327" s="99">
        <f t="shared" si="35"/>
        <v>0</v>
      </c>
      <c r="N327" s="96">
        <f t="shared" ca="1" si="36"/>
        <v>0</v>
      </c>
      <c r="O327" s="97">
        <f t="shared" si="37"/>
        <v>0</v>
      </c>
      <c r="P327" s="84"/>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row>
    <row r="328" spans="2:53">
      <c r="B328" s="41"/>
      <c r="C328" s="41"/>
      <c r="D328" s="46"/>
      <c r="E328" s="47"/>
      <c r="F328" s="33"/>
      <c r="G328" s="33"/>
      <c r="H328" s="45"/>
      <c r="I328" s="34"/>
      <c r="J328" s="26">
        <f t="shared" si="34"/>
        <v>0</v>
      </c>
      <c r="K328" s="33"/>
      <c r="L328" s="33"/>
      <c r="M328" s="99">
        <f t="shared" si="35"/>
        <v>0</v>
      </c>
      <c r="N328" s="96">
        <f t="shared" ca="1" si="36"/>
        <v>0</v>
      </c>
      <c r="O328" s="97">
        <f t="shared" si="37"/>
        <v>0</v>
      </c>
      <c r="P328" s="84"/>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row>
    <row r="329" spans="2:53">
      <c r="B329" s="41"/>
      <c r="C329" s="41"/>
      <c r="D329" s="46"/>
      <c r="E329" s="47"/>
      <c r="F329" s="33"/>
      <c r="G329" s="33"/>
      <c r="H329" s="45"/>
      <c r="I329" s="34"/>
      <c r="J329" s="26">
        <f t="shared" si="34"/>
        <v>0</v>
      </c>
      <c r="K329" s="33"/>
      <c r="L329" s="33"/>
      <c r="M329" s="99">
        <f t="shared" si="35"/>
        <v>0</v>
      </c>
      <c r="N329" s="96">
        <f t="shared" ca="1" si="36"/>
        <v>0</v>
      </c>
      <c r="O329" s="97">
        <f t="shared" si="37"/>
        <v>0</v>
      </c>
      <c r="P329" s="84"/>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row>
    <row r="330" spans="2:53">
      <c r="B330" s="41"/>
      <c r="C330" s="41"/>
      <c r="D330" s="46"/>
      <c r="E330" s="47"/>
      <c r="F330" s="33"/>
      <c r="G330" s="33"/>
      <c r="H330" s="45"/>
      <c r="I330" s="34"/>
      <c r="J330" s="26">
        <f t="shared" si="34"/>
        <v>0</v>
      </c>
      <c r="K330" s="33"/>
      <c r="L330" s="33"/>
      <c r="M330" s="99">
        <f t="shared" si="35"/>
        <v>0</v>
      </c>
      <c r="N330" s="96">
        <f t="shared" ca="1" si="36"/>
        <v>0</v>
      </c>
      <c r="O330" s="97">
        <f t="shared" si="37"/>
        <v>0</v>
      </c>
      <c r="P330" s="84"/>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row>
    <row r="331" spans="2:53">
      <c r="B331" s="41"/>
      <c r="C331" s="41"/>
      <c r="D331" s="46"/>
      <c r="E331" s="47"/>
      <c r="F331" s="33"/>
      <c r="G331" s="33"/>
      <c r="H331" s="45"/>
      <c r="I331" s="34"/>
      <c r="J331" s="26">
        <f t="shared" si="34"/>
        <v>0</v>
      </c>
      <c r="K331" s="33"/>
      <c r="L331" s="33"/>
      <c r="M331" s="99">
        <f t="shared" si="35"/>
        <v>0</v>
      </c>
      <c r="N331" s="96">
        <f t="shared" ca="1" si="36"/>
        <v>0</v>
      </c>
      <c r="O331" s="97">
        <f t="shared" si="37"/>
        <v>0</v>
      </c>
      <c r="P331" s="84"/>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row>
    <row r="332" spans="2:53">
      <c r="B332" s="41"/>
      <c r="C332" s="41"/>
      <c r="D332" s="46"/>
      <c r="E332" s="47"/>
      <c r="F332" s="33"/>
      <c r="G332" s="33"/>
      <c r="H332" s="45"/>
      <c r="I332" s="34"/>
      <c r="J332" s="26">
        <f t="shared" si="34"/>
        <v>0</v>
      </c>
      <c r="K332" s="33"/>
      <c r="L332" s="33"/>
      <c r="M332" s="99">
        <f t="shared" si="35"/>
        <v>0</v>
      </c>
      <c r="N332" s="96">
        <f t="shared" ca="1" si="36"/>
        <v>0</v>
      </c>
      <c r="O332" s="97">
        <f t="shared" si="37"/>
        <v>0</v>
      </c>
      <c r="P332" s="84"/>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row>
    <row r="333" spans="2:53">
      <c r="B333" s="41"/>
      <c r="C333" s="41"/>
      <c r="D333" s="46"/>
      <c r="E333" s="47"/>
      <c r="F333" s="33"/>
      <c r="G333" s="33"/>
      <c r="H333" s="45"/>
      <c r="I333" s="34"/>
      <c r="J333" s="26">
        <f t="shared" si="34"/>
        <v>0</v>
      </c>
      <c r="K333" s="33"/>
      <c r="L333" s="33"/>
      <c r="M333" s="99">
        <f t="shared" si="35"/>
        <v>0</v>
      </c>
      <c r="N333" s="96">
        <f t="shared" ca="1" si="36"/>
        <v>0</v>
      </c>
      <c r="O333" s="97">
        <f t="shared" si="37"/>
        <v>0</v>
      </c>
      <c r="P333" s="84"/>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row>
    <row r="334" spans="2:53">
      <c r="B334" s="41"/>
      <c r="C334" s="41"/>
      <c r="D334" s="46"/>
      <c r="E334" s="47"/>
      <c r="F334" s="33"/>
      <c r="G334" s="33"/>
      <c r="H334" s="45"/>
      <c r="I334" s="34"/>
      <c r="J334" s="26">
        <f t="shared" si="34"/>
        <v>0</v>
      </c>
      <c r="K334" s="33"/>
      <c r="L334" s="33"/>
      <c r="M334" s="99">
        <f t="shared" si="35"/>
        <v>0</v>
      </c>
      <c r="N334" s="96">
        <f t="shared" ca="1" si="36"/>
        <v>0</v>
      </c>
      <c r="O334" s="97">
        <f t="shared" si="37"/>
        <v>0</v>
      </c>
      <c r="P334" s="84"/>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row>
    <row r="335" spans="2:53">
      <c r="B335" s="41"/>
      <c r="C335" s="41"/>
      <c r="D335" s="46"/>
      <c r="E335" s="47"/>
      <c r="F335" s="33"/>
      <c r="G335" s="33"/>
      <c r="H335" s="45"/>
      <c r="I335" s="34"/>
      <c r="J335" s="26">
        <f t="shared" si="34"/>
        <v>0</v>
      </c>
      <c r="K335" s="33"/>
      <c r="L335" s="33"/>
      <c r="M335" s="99">
        <f t="shared" si="35"/>
        <v>0</v>
      </c>
      <c r="N335" s="96">
        <f t="shared" ca="1" si="36"/>
        <v>0</v>
      </c>
      <c r="O335" s="97">
        <f t="shared" si="37"/>
        <v>0</v>
      </c>
      <c r="P335" s="84"/>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row>
    <row r="336" spans="2:53">
      <c r="B336" s="41"/>
      <c r="C336" s="41"/>
      <c r="D336" s="46"/>
      <c r="E336" s="47"/>
      <c r="F336" s="33"/>
      <c r="G336" s="33"/>
      <c r="H336" s="45"/>
      <c r="I336" s="34"/>
      <c r="J336" s="26">
        <f t="shared" si="34"/>
        <v>0</v>
      </c>
      <c r="K336" s="33"/>
      <c r="L336" s="33"/>
      <c r="M336" s="99">
        <f t="shared" si="35"/>
        <v>0</v>
      </c>
      <c r="N336" s="96">
        <f t="shared" ca="1" si="36"/>
        <v>0</v>
      </c>
      <c r="O336" s="97">
        <f t="shared" si="37"/>
        <v>0</v>
      </c>
      <c r="P336" s="84"/>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row>
    <row r="337" spans="2:53">
      <c r="B337" s="41"/>
      <c r="C337" s="41"/>
      <c r="D337" s="46"/>
      <c r="E337" s="47"/>
      <c r="F337" s="33"/>
      <c r="G337" s="33"/>
      <c r="H337" s="45"/>
      <c r="I337" s="34"/>
      <c r="J337" s="26">
        <f t="shared" si="34"/>
        <v>0</v>
      </c>
      <c r="K337" s="33"/>
      <c r="L337" s="33"/>
      <c r="M337" s="99">
        <f t="shared" si="35"/>
        <v>0</v>
      </c>
      <c r="N337" s="96">
        <f t="shared" ca="1" si="36"/>
        <v>0</v>
      </c>
      <c r="O337" s="97">
        <f t="shared" si="37"/>
        <v>0</v>
      </c>
      <c r="P337" s="84"/>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row>
    <row r="338" spans="2:53">
      <c r="B338" s="41"/>
      <c r="C338" s="41"/>
      <c r="D338" s="46"/>
      <c r="E338" s="47"/>
      <c r="F338" s="33"/>
      <c r="G338" s="33"/>
      <c r="H338" s="45"/>
      <c r="I338" s="34"/>
      <c r="J338" s="26">
        <f t="shared" si="34"/>
        <v>0</v>
      </c>
      <c r="K338" s="33"/>
      <c r="L338" s="33"/>
      <c r="M338" s="99">
        <f t="shared" si="35"/>
        <v>0</v>
      </c>
      <c r="N338" s="96">
        <f t="shared" ca="1" si="36"/>
        <v>0</v>
      </c>
      <c r="O338" s="97">
        <f t="shared" si="37"/>
        <v>0</v>
      </c>
      <c r="P338" s="84"/>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row>
    <row r="339" spans="2:53">
      <c r="B339" s="41"/>
      <c r="C339" s="41"/>
      <c r="D339" s="46"/>
      <c r="E339" s="47"/>
      <c r="F339" s="33"/>
      <c r="G339" s="33"/>
      <c r="H339" s="45"/>
      <c r="I339" s="34"/>
      <c r="J339" s="26">
        <f t="shared" si="34"/>
        <v>0</v>
      </c>
      <c r="K339" s="33"/>
      <c r="L339" s="33"/>
      <c r="M339" s="99">
        <f t="shared" si="35"/>
        <v>0</v>
      </c>
      <c r="N339" s="96">
        <f t="shared" ca="1" si="36"/>
        <v>0</v>
      </c>
      <c r="O339" s="97">
        <f t="shared" si="37"/>
        <v>0</v>
      </c>
      <c r="P339" s="84"/>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row>
    <row r="340" spans="2:53">
      <c r="B340" s="41"/>
      <c r="C340" s="41"/>
      <c r="D340" s="46"/>
      <c r="E340" s="47"/>
      <c r="F340" s="33"/>
      <c r="G340" s="33"/>
      <c r="H340" s="45"/>
      <c r="I340" s="34"/>
      <c r="J340" s="26">
        <f t="shared" si="34"/>
        <v>0</v>
      </c>
      <c r="K340" s="33"/>
      <c r="L340" s="33"/>
      <c r="M340" s="99">
        <f t="shared" si="35"/>
        <v>0</v>
      </c>
      <c r="N340" s="96">
        <f t="shared" ca="1" si="36"/>
        <v>0</v>
      </c>
      <c r="O340" s="97">
        <f t="shared" si="37"/>
        <v>0</v>
      </c>
      <c r="P340" s="84"/>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row>
    <row r="341" spans="2:53">
      <c r="B341" s="41"/>
      <c r="C341" s="41"/>
      <c r="D341" s="46"/>
      <c r="E341" s="47"/>
      <c r="F341" s="33"/>
      <c r="G341" s="33"/>
      <c r="H341" s="45"/>
      <c r="I341" s="34"/>
      <c r="J341" s="26">
        <f t="shared" si="34"/>
        <v>0</v>
      </c>
      <c r="K341" s="33"/>
      <c r="L341" s="33"/>
      <c r="M341" s="99">
        <f t="shared" si="35"/>
        <v>0</v>
      </c>
      <c r="N341" s="96">
        <f t="shared" ca="1" si="36"/>
        <v>0</v>
      </c>
      <c r="O341" s="97">
        <f t="shared" si="37"/>
        <v>0</v>
      </c>
      <c r="P341" s="84"/>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row>
    <row r="342" spans="2:53">
      <c r="B342" s="41"/>
      <c r="C342" s="41"/>
      <c r="D342" s="46"/>
      <c r="E342" s="47"/>
      <c r="F342" s="33"/>
      <c r="G342" s="33"/>
      <c r="H342" s="45"/>
      <c r="I342" s="34"/>
      <c r="J342" s="26">
        <f t="shared" si="34"/>
        <v>0</v>
      </c>
      <c r="K342" s="33"/>
      <c r="L342" s="33"/>
      <c r="M342" s="99">
        <f t="shared" si="35"/>
        <v>0</v>
      </c>
      <c r="N342" s="96">
        <f t="shared" ca="1" si="36"/>
        <v>0</v>
      </c>
      <c r="O342" s="97">
        <f t="shared" si="37"/>
        <v>0</v>
      </c>
      <c r="P342" s="84"/>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row>
    <row r="343" spans="2:53">
      <c r="B343" s="41"/>
      <c r="C343" s="41"/>
      <c r="D343" s="46"/>
      <c r="E343" s="47"/>
      <c r="F343" s="33"/>
      <c r="G343" s="33"/>
      <c r="H343" s="45"/>
      <c r="I343" s="34"/>
      <c r="J343" s="26">
        <f t="shared" si="34"/>
        <v>0</v>
      </c>
      <c r="K343" s="33"/>
      <c r="L343" s="33"/>
      <c r="M343" s="99">
        <f t="shared" si="35"/>
        <v>0</v>
      </c>
      <c r="N343" s="96">
        <f t="shared" ca="1" si="36"/>
        <v>0</v>
      </c>
      <c r="O343" s="97">
        <f t="shared" si="37"/>
        <v>0</v>
      </c>
      <c r="P343" s="84"/>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row>
    <row r="344" spans="2:53">
      <c r="B344" s="41"/>
      <c r="C344" s="41"/>
      <c r="D344" s="46"/>
      <c r="E344" s="47"/>
      <c r="F344" s="33"/>
      <c r="G344" s="33"/>
      <c r="H344" s="45"/>
      <c r="I344" s="34"/>
      <c r="J344" s="26">
        <f t="shared" si="34"/>
        <v>0</v>
      </c>
      <c r="K344" s="33"/>
      <c r="L344" s="33"/>
      <c r="M344" s="99">
        <f t="shared" si="35"/>
        <v>0</v>
      </c>
      <c r="N344" s="96">
        <f t="shared" ca="1" si="36"/>
        <v>0</v>
      </c>
      <c r="O344" s="97">
        <f t="shared" si="37"/>
        <v>0</v>
      </c>
      <c r="P344" s="84"/>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row>
    <row r="345" spans="2:53">
      <c r="B345" s="41"/>
      <c r="C345" s="41"/>
      <c r="D345" s="46"/>
      <c r="E345" s="47"/>
      <c r="F345" s="33"/>
      <c r="G345" s="33"/>
      <c r="H345" s="45"/>
      <c r="I345" s="34"/>
      <c r="J345" s="26">
        <f t="shared" si="34"/>
        <v>0</v>
      </c>
      <c r="K345" s="33"/>
      <c r="L345" s="33"/>
      <c r="M345" s="99">
        <f t="shared" si="35"/>
        <v>0</v>
      </c>
      <c r="N345" s="96">
        <f t="shared" ca="1" si="36"/>
        <v>0</v>
      </c>
      <c r="O345" s="97">
        <f t="shared" si="37"/>
        <v>0</v>
      </c>
      <c r="P345" s="84"/>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row>
    <row r="346" spans="2:53">
      <c r="B346" s="41"/>
      <c r="C346" s="41"/>
      <c r="D346" s="46"/>
      <c r="E346" s="47"/>
      <c r="F346" s="33"/>
      <c r="G346" s="33"/>
      <c r="H346" s="45"/>
      <c r="I346" s="34"/>
      <c r="J346" s="26">
        <f t="shared" si="34"/>
        <v>0</v>
      </c>
      <c r="K346" s="33"/>
      <c r="L346" s="33"/>
      <c r="M346" s="99">
        <f t="shared" si="35"/>
        <v>0</v>
      </c>
      <c r="N346" s="96">
        <f t="shared" ca="1" si="36"/>
        <v>0</v>
      </c>
      <c r="O346" s="97">
        <f t="shared" si="37"/>
        <v>0</v>
      </c>
      <c r="P346" s="84"/>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row>
    <row r="347" spans="2:53">
      <c r="B347" s="41"/>
      <c r="C347" s="41"/>
      <c r="D347" s="46"/>
      <c r="E347" s="47"/>
      <c r="F347" s="33"/>
      <c r="G347" s="33"/>
      <c r="H347" s="45"/>
      <c r="I347" s="34"/>
      <c r="J347" s="26">
        <f t="shared" si="34"/>
        <v>0</v>
      </c>
      <c r="K347" s="33"/>
      <c r="L347" s="33"/>
      <c r="M347" s="99">
        <f t="shared" si="35"/>
        <v>0</v>
      </c>
      <c r="N347" s="96">
        <f t="shared" ca="1" si="36"/>
        <v>0</v>
      </c>
      <c r="O347" s="97">
        <f t="shared" si="37"/>
        <v>0</v>
      </c>
      <c r="P347" s="84"/>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row>
    <row r="348" spans="2:53">
      <c r="B348" s="41"/>
      <c r="C348" s="41"/>
      <c r="D348" s="46"/>
      <c r="E348" s="47"/>
      <c r="F348" s="33"/>
      <c r="G348" s="33"/>
      <c r="H348" s="45"/>
      <c r="I348" s="34"/>
      <c r="J348" s="26">
        <f t="shared" si="34"/>
        <v>0</v>
      </c>
      <c r="K348" s="33"/>
      <c r="L348" s="33"/>
      <c r="M348" s="99">
        <f t="shared" si="35"/>
        <v>0</v>
      </c>
      <c r="N348" s="96">
        <f t="shared" ca="1" si="36"/>
        <v>0</v>
      </c>
      <c r="O348" s="97">
        <f t="shared" si="37"/>
        <v>0</v>
      </c>
      <c r="P348" s="84"/>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row>
    <row r="349" spans="2:53">
      <c r="B349" s="41"/>
      <c r="C349" s="41"/>
      <c r="D349" s="46"/>
      <c r="E349" s="47"/>
      <c r="F349" s="33"/>
      <c r="G349" s="33"/>
      <c r="H349" s="45"/>
      <c r="I349" s="34"/>
      <c r="J349" s="26">
        <f t="shared" si="34"/>
        <v>0</v>
      </c>
      <c r="K349" s="33"/>
      <c r="L349" s="33"/>
      <c r="M349" s="99">
        <f t="shared" si="35"/>
        <v>0</v>
      </c>
      <c r="N349" s="96">
        <f t="shared" ca="1" si="36"/>
        <v>0</v>
      </c>
      <c r="O349" s="97">
        <f t="shared" si="37"/>
        <v>0</v>
      </c>
      <c r="P349" s="84"/>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row>
    <row r="350" spans="2:53">
      <c r="B350" s="41"/>
      <c r="C350" s="41"/>
      <c r="D350" s="46"/>
      <c r="E350" s="47"/>
      <c r="F350" s="33"/>
      <c r="G350" s="33"/>
      <c r="H350" s="45"/>
      <c r="I350" s="34"/>
      <c r="J350" s="26">
        <f t="shared" si="34"/>
        <v>0</v>
      </c>
      <c r="K350" s="33"/>
      <c r="L350" s="33"/>
      <c r="M350" s="99">
        <f t="shared" si="35"/>
        <v>0</v>
      </c>
      <c r="N350" s="96">
        <f t="shared" ca="1" si="36"/>
        <v>0</v>
      </c>
      <c r="O350" s="97">
        <f t="shared" si="37"/>
        <v>0</v>
      </c>
      <c r="P350" s="84"/>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row>
    <row r="351" spans="2:53">
      <c r="B351" s="41"/>
      <c r="C351" s="41"/>
      <c r="D351" s="46"/>
      <c r="E351" s="47"/>
      <c r="F351" s="33"/>
      <c r="G351" s="33"/>
      <c r="H351" s="45"/>
      <c r="I351" s="34"/>
      <c r="J351" s="26">
        <f t="shared" si="34"/>
        <v>0</v>
      </c>
      <c r="K351" s="33"/>
      <c r="L351" s="33"/>
      <c r="M351" s="99">
        <f t="shared" si="35"/>
        <v>0</v>
      </c>
      <c r="N351" s="96">
        <f t="shared" ca="1" si="36"/>
        <v>0</v>
      </c>
      <c r="O351" s="97">
        <f t="shared" si="37"/>
        <v>0</v>
      </c>
      <c r="P351" s="84"/>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row>
    <row r="352" spans="2:53">
      <c r="B352" s="41"/>
      <c r="C352" s="41"/>
      <c r="D352" s="46"/>
      <c r="E352" s="47"/>
      <c r="F352" s="33"/>
      <c r="G352" s="33"/>
      <c r="H352" s="45"/>
      <c r="I352" s="34"/>
      <c r="J352" s="26">
        <f t="shared" si="34"/>
        <v>0</v>
      </c>
      <c r="K352" s="33"/>
      <c r="L352" s="33"/>
      <c r="M352" s="99">
        <f t="shared" si="35"/>
        <v>0</v>
      </c>
      <c r="N352" s="96">
        <f t="shared" ca="1" si="36"/>
        <v>0</v>
      </c>
      <c r="O352" s="97">
        <f t="shared" si="37"/>
        <v>0</v>
      </c>
      <c r="P352" s="84"/>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row>
    <row r="353" spans="2:53">
      <c r="B353" s="41"/>
      <c r="C353" s="41"/>
      <c r="D353" s="46"/>
      <c r="E353" s="47"/>
      <c r="F353" s="33"/>
      <c r="G353" s="33"/>
      <c r="H353" s="45"/>
      <c r="I353" s="34"/>
      <c r="J353" s="26">
        <f t="shared" si="34"/>
        <v>0</v>
      </c>
      <c r="K353" s="33"/>
      <c r="L353" s="33"/>
      <c r="M353" s="99">
        <f t="shared" si="35"/>
        <v>0</v>
      </c>
      <c r="N353" s="96">
        <f t="shared" ca="1" si="36"/>
        <v>0</v>
      </c>
      <c r="O353" s="97">
        <f t="shared" si="37"/>
        <v>0</v>
      </c>
      <c r="P353" s="84"/>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row>
    <row r="354" spans="2:53">
      <c r="B354" s="41"/>
      <c r="C354" s="41"/>
      <c r="D354" s="46"/>
      <c r="E354" s="47"/>
      <c r="F354" s="33"/>
      <c r="G354" s="33"/>
      <c r="H354" s="45"/>
      <c r="I354" s="34"/>
      <c r="J354" s="26">
        <f t="shared" si="34"/>
        <v>0</v>
      </c>
      <c r="K354" s="33"/>
      <c r="L354" s="33"/>
      <c r="M354" s="99">
        <f t="shared" si="35"/>
        <v>0</v>
      </c>
      <c r="N354" s="96">
        <f t="shared" ca="1" si="36"/>
        <v>0</v>
      </c>
      <c r="O354" s="97">
        <f t="shared" si="37"/>
        <v>0</v>
      </c>
      <c r="P354" s="84"/>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row>
    <row r="355" spans="2:53">
      <c r="B355" s="41"/>
      <c r="C355" s="41"/>
      <c r="D355" s="46"/>
      <c r="E355" s="47"/>
      <c r="F355" s="33"/>
      <c r="G355" s="33"/>
      <c r="H355" s="45"/>
      <c r="I355" s="34"/>
      <c r="J355" s="26">
        <f t="shared" si="34"/>
        <v>0</v>
      </c>
      <c r="K355" s="33"/>
      <c r="L355" s="33"/>
      <c r="M355" s="99">
        <f t="shared" si="35"/>
        <v>0</v>
      </c>
      <c r="N355" s="96">
        <f t="shared" ca="1" si="36"/>
        <v>0</v>
      </c>
      <c r="O355" s="97">
        <f t="shared" si="37"/>
        <v>0</v>
      </c>
      <c r="P355" s="84"/>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row>
    <row r="356" spans="2:53">
      <c r="B356" s="41"/>
      <c r="C356" s="41"/>
      <c r="D356" s="46"/>
      <c r="E356" s="47"/>
      <c r="F356" s="33"/>
      <c r="G356" s="33"/>
      <c r="H356" s="45"/>
      <c r="I356" s="34"/>
      <c r="J356" s="26">
        <f t="shared" si="34"/>
        <v>0</v>
      </c>
      <c r="K356" s="33"/>
      <c r="L356" s="33"/>
      <c r="M356" s="99">
        <f t="shared" si="35"/>
        <v>0</v>
      </c>
      <c r="N356" s="96">
        <f t="shared" ca="1" si="36"/>
        <v>0</v>
      </c>
      <c r="O356" s="97">
        <f t="shared" si="37"/>
        <v>0</v>
      </c>
      <c r="P356" s="84"/>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row>
    <row r="357" spans="2:53">
      <c r="B357" s="41"/>
      <c r="C357" s="41"/>
      <c r="D357" s="46"/>
      <c r="E357" s="47"/>
      <c r="F357" s="33"/>
      <c r="G357" s="33"/>
      <c r="H357" s="45"/>
      <c r="I357" s="34"/>
      <c r="J357" s="26">
        <f t="shared" si="34"/>
        <v>0</v>
      </c>
      <c r="K357" s="33"/>
      <c r="L357" s="33"/>
      <c r="M357" s="99">
        <f t="shared" si="35"/>
        <v>0</v>
      </c>
      <c r="N357" s="96">
        <f t="shared" ca="1" si="36"/>
        <v>0</v>
      </c>
      <c r="O357" s="97">
        <f t="shared" si="37"/>
        <v>0</v>
      </c>
      <c r="P357" s="84"/>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row>
    <row r="358" spans="2:53">
      <c r="B358" s="41"/>
      <c r="C358" s="41"/>
      <c r="D358" s="46"/>
      <c r="E358" s="47"/>
      <c r="F358" s="33"/>
      <c r="G358" s="33"/>
      <c r="H358" s="45"/>
      <c r="I358" s="34"/>
      <c r="J358" s="26">
        <f t="shared" si="34"/>
        <v>0</v>
      </c>
      <c r="K358" s="33"/>
      <c r="L358" s="33"/>
      <c r="M358" s="99">
        <f t="shared" si="35"/>
        <v>0</v>
      </c>
      <c r="N358" s="96">
        <f t="shared" ca="1" si="36"/>
        <v>0</v>
      </c>
      <c r="O358" s="97">
        <f t="shared" si="37"/>
        <v>0</v>
      </c>
      <c r="P358" s="84"/>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row>
    <row r="359" spans="2:53">
      <c r="B359" s="41"/>
      <c r="C359" s="41"/>
      <c r="D359" s="46"/>
      <c r="E359" s="47"/>
      <c r="F359" s="33"/>
      <c r="G359" s="33"/>
      <c r="H359" s="45"/>
      <c r="I359" s="34"/>
      <c r="J359" s="26">
        <f t="shared" si="34"/>
        <v>0</v>
      </c>
      <c r="K359" s="33"/>
      <c r="L359" s="33"/>
      <c r="M359" s="99">
        <f t="shared" si="35"/>
        <v>0</v>
      </c>
      <c r="N359" s="96">
        <f t="shared" ca="1" si="36"/>
        <v>0</v>
      </c>
      <c r="O359" s="97">
        <f t="shared" si="37"/>
        <v>0</v>
      </c>
      <c r="P359" s="84"/>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row>
    <row r="360" spans="2:53">
      <c r="B360" s="41"/>
      <c r="C360" s="41"/>
      <c r="D360" s="46"/>
      <c r="E360" s="47"/>
      <c r="F360" s="33"/>
      <c r="G360" s="33"/>
      <c r="H360" s="45"/>
      <c r="I360" s="34"/>
      <c r="J360" s="26">
        <f t="shared" si="34"/>
        <v>0</v>
      </c>
      <c r="K360" s="33"/>
      <c r="L360" s="33"/>
      <c r="M360" s="99">
        <f t="shared" si="35"/>
        <v>0</v>
      </c>
      <c r="N360" s="96">
        <f t="shared" ca="1" si="36"/>
        <v>0</v>
      </c>
      <c r="O360" s="97">
        <f t="shared" si="37"/>
        <v>0</v>
      </c>
      <c r="P360" s="84"/>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row>
    <row r="361" spans="2:53">
      <c r="B361" s="41"/>
      <c r="C361" s="41"/>
      <c r="D361" s="46"/>
      <c r="E361" s="47"/>
      <c r="F361" s="33"/>
      <c r="G361" s="33"/>
      <c r="H361" s="45"/>
      <c r="I361" s="34"/>
      <c r="J361" s="26">
        <f t="shared" si="34"/>
        <v>0</v>
      </c>
      <c r="K361" s="33"/>
      <c r="L361" s="33"/>
      <c r="M361" s="99">
        <f t="shared" si="35"/>
        <v>0</v>
      </c>
      <c r="N361" s="96">
        <f t="shared" ca="1" si="36"/>
        <v>0</v>
      </c>
      <c r="O361" s="97">
        <f t="shared" si="37"/>
        <v>0</v>
      </c>
      <c r="P361" s="84"/>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row>
    <row r="362" spans="2:53">
      <c r="B362" s="41"/>
      <c r="C362" s="41"/>
      <c r="D362" s="46"/>
      <c r="E362" s="47"/>
      <c r="F362" s="33"/>
      <c r="G362" s="33"/>
      <c r="H362" s="45"/>
      <c r="I362" s="34"/>
      <c r="J362" s="26">
        <f t="shared" si="34"/>
        <v>0</v>
      </c>
      <c r="K362" s="33"/>
      <c r="L362" s="33"/>
      <c r="M362" s="99">
        <f t="shared" si="35"/>
        <v>0</v>
      </c>
      <c r="N362" s="96">
        <f t="shared" ca="1" si="36"/>
        <v>0</v>
      </c>
      <c r="O362" s="97">
        <f t="shared" si="37"/>
        <v>0</v>
      </c>
      <c r="P362" s="84"/>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row>
    <row r="363" spans="2:53">
      <c r="B363" s="41"/>
      <c r="C363" s="41"/>
      <c r="D363" s="46"/>
      <c r="E363" s="47"/>
      <c r="F363" s="33"/>
      <c r="G363" s="33"/>
      <c r="H363" s="45"/>
      <c r="I363" s="34"/>
      <c r="J363" s="26">
        <f t="shared" si="34"/>
        <v>0</v>
      </c>
      <c r="K363" s="33"/>
      <c r="L363" s="33"/>
      <c r="M363" s="99">
        <f t="shared" si="35"/>
        <v>0</v>
      </c>
      <c r="N363" s="96">
        <f t="shared" ca="1" si="36"/>
        <v>0</v>
      </c>
      <c r="O363" s="97">
        <f t="shared" si="37"/>
        <v>0</v>
      </c>
      <c r="P363" s="84"/>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row>
    <row r="364" spans="2:53">
      <c r="B364" s="41"/>
      <c r="C364" s="41"/>
      <c r="D364" s="46"/>
      <c r="E364" s="47"/>
      <c r="F364" s="33"/>
      <c r="G364" s="33"/>
      <c r="H364" s="45"/>
      <c r="I364" s="34"/>
      <c r="J364" s="26">
        <f t="shared" si="34"/>
        <v>0</v>
      </c>
      <c r="K364" s="33"/>
      <c r="L364" s="33"/>
      <c r="M364" s="99">
        <f t="shared" si="35"/>
        <v>0</v>
      </c>
      <c r="N364" s="96">
        <f t="shared" ca="1" si="36"/>
        <v>0</v>
      </c>
      <c r="O364" s="97">
        <f t="shared" si="37"/>
        <v>0</v>
      </c>
      <c r="P364" s="84"/>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row>
    <row r="365" spans="2:53">
      <c r="B365" s="41"/>
      <c r="C365" s="41"/>
      <c r="D365" s="46"/>
      <c r="E365" s="47"/>
      <c r="F365" s="33"/>
      <c r="G365" s="33"/>
      <c r="H365" s="45"/>
      <c r="I365" s="34"/>
      <c r="J365" s="26">
        <f t="shared" si="34"/>
        <v>0</v>
      </c>
      <c r="K365" s="33"/>
      <c r="L365" s="33"/>
      <c r="M365" s="99">
        <f t="shared" si="35"/>
        <v>0</v>
      </c>
      <c r="N365" s="96">
        <f t="shared" ca="1" si="36"/>
        <v>0</v>
      </c>
      <c r="O365" s="97">
        <f t="shared" si="37"/>
        <v>0</v>
      </c>
      <c r="P365" s="84"/>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row>
    <row r="366" spans="2:53">
      <c r="B366" s="41"/>
      <c r="C366" s="41"/>
      <c r="D366" s="46"/>
      <c r="E366" s="47"/>
      <c r="F366" s="33"/>
      <c r="G366" s="33"/>
      <c r="H366" s="45"/>
      <c r="I366" s="34"/>
      <c r="J366" s="26">
        <f t="shared" si="34"/>
        <v>0</v>
      </c>
      <c r="K366" s="33"/>
      <c r="L366" s="33"/>
      <c r="M366" s="99">
        <f t="shared" si="35"/>
        <v>0</v>
      </c>
      <c r="N366" s="96">
        <f t="shared" ca="1" si="36"/>
        <v>0</v>
      </c>
      <c r="O366" s="97">
        <f t="shared" si="37"/>
        <v>0</v>
      </c>
      <c r="P366" s="84"/>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row>
    <row r="367" spans="2:53">
      <c r="B367" s="41"/>
      <c r="C367" s="41"/>
      <c r="D367" s="46"/>
      <c r="E367" s="47"/>
      <c r="F367" s="33"/>
      <c r="G367" s="33"/>
      <c r="H367" s="45"/>
      <c r="I367" s="34"/>
      <c r="J367" s="26">
        <f t="shared" si="34"/>
        <v>0</v>
      </c>
      <c r="K367" s="33"/>
      <c r="L367" s="33"/>
      <c r="M367" s="99">
        <f t="shared" si="35"/>
        <v>0</v>
      </c>
      <c r="N367" s="96">
        <f t="shared" ca="1" si="36"/>
        <v>0</v>
      </c>
      <c r="O367" s="97">
        <f t="shared" si="37"/>
        <v>0</v>
      </c>
      <c r="P367" s="84"/>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row>
    <row r="368" spans="2:53">
      <c r="B368" s="41"/>
      <c r="C368" s="41"/>
      <c r="D368" s="46"/>
      <c r="E368" s="47"/>
      <c r="F368" s="33"/>
      <c r="G368" s="33"/>
      <c r="H368" s="45"/>
      <c r="I368" s="34"/>
      <c r="J368" s="26">
        <f t="shared" si="34"/>
        <v>0</v>
      </c>
      <c r="K368" s="33"/>
      <c r="L368" s="33"/>
      <c r="M368" s="99">
        <f t="shared" si="35"/>
        <v>0</v>
      </c>
      <c r="N368" s="96">
        <f t="shared" ca="1" si="36"/>
        <v>0</v>
      </c>
      <c r="O368" s="97">
        <f t="shared" si="37"/>
        <v>0</v>
      </c>
      <c r="P368" s="84"/>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row>
    <row r="369" spans="2:53">
      <c r="B369" s="41"/>
      <c r="C369" s="41"/>
      <c r="D369" s="46"/>
      <c r="E369" s="47"/>
      <c r="F369" s="33"/>
      <c r="G369" s="33"/>
      <c r="H369" s="45"/>
      <c r="I369" s="34"/>
      <c r="J369" s="26">
        <f t="shared" si="34"/>
        <v>0</v>
      </c>
      <c r="K369" s="33"/>
      <c r="L369" s="33"/>
      <c r="M369" s="99">
        <f t="shared" si="35"/>
        <v>0</v>
      </c>
      <c r="N369" s="96">
        <f t="shared" ca="1" si="36"/>
        <v>0</v>
      </c>
      <c r="O369" s="97">
        <f t="shared" si="37"/>
        <v>0</v>
      </c>
      <c r="P369" s="84"/>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row>
    <row r="370" spans="2:53">
      <c r="B370" s="41"/>
      <c r="C370" s="41"/>
      <c r="D370" s="46"/>
      <c r="E370" s="47"/>
      <c r="F370" s="33"/>
      <c r="G370" s="33"/>
      <c r="H370" s="45"/>
      <c r="I370" s="34"/>
      <c r="J370" s="26">
        <f t="shared" si="34"/>
        <v>0</v>
      </c>
      <c r="K370" s="33"/>
      <c r="L370" s="33"/>
      <c r="M370" s="99">
        <f t="shared" si="35"/>
        <v>0</v>
      </c>
      <c r="N370" s="96">
        <f t="shared" ca="1" si="36"/>
        <v>0</v>
      </c>
      <c r="O370" s="97">
        <f t="shared" si="37"/>
        <v>0</v>
      </c>
      <c r="P370" s="84"/>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row>
  </sheetData>
  <sheetProtection formatCells="0" formatColumns="0" formatRows="0" insertColumns="0" insertRows="0" insertHyperlinks="0" deleteColumns="0" deleteRows="0" sort="0" autoFilter="0" pivotTables="0"/>
  <autoFilter ref="B6:O6" xr:uid="{00000000-0001-0000-0000-000000000000}"/>
  <mergeCells count="4">
    <mergeCell ref="G59:G60"/>
    <mergeCell ref="F59:F60"/>
    <mergeCell ref="P5:AL5"/>
    <mergeCell ref="AM5:BA5"/>
  </mergeCells>
  <phoneticPr fontId="5" type="noConversion"/>
  <conditionalFormatting sqref="C7:C370">
    <cfRule type="containsText" dxfId="23" priority="73" operator="containsText" text="others">
      <formula>NOT(ISERROR(SEARCH("others",C7)))</formula>
    </cfRule>
    <cfRule type="containsText" dxfId="22" priority="74" operator="containsText" text="agency">
      <formula>NOT(ISERROR(SEARCH("agency",C7)))</formula>
    </cfRule>
    <cfRule type="containsText" dxfId="21" priority="75" operator="containsText" text="Class">
      <formula>NOT(ISERROR(SEARCH("Class",C7)))</formula>
    </cfRule>
    <cfRule type="containsText" dxfId="20" priority="76" operator="containsText" text="paint">
      <formula>NOT(ISERROR(SEARCH("paint",C7)))</formula>
    </cfRule>
    <cfRule type="containsText" dxfId="19" priority="77" operator="containsText" text="Store">
      <formula>NOT(ISERROR(SEARCH("Store",C7)))</formula>
    </cfRule>
    <cfRule type="containsText" dxfId="18" priority="78" operator="containsText" text="Spare">
      <formula>NOT(ISERROR(SEARCH("Spare",C7)))</formula>
    </cfRule>
    <cfRule type="containsText" dxfId="17" priority="79" operator="containsText" text="Shore repair">
      <formula>NOT(ISERROR(SEARCH("Shore repair",C7)))</formula>
    </cfRule>
    <cfRule type="containsText" dxfId="16" priority="80" operator="containsText" text="Shipyard">
      <formula>NOT(ISERROR(SEARCH("Shipyard",C7)))</formula>
    </cfRule>
  </conditionalFormatting>
  <conditionalFormatting sqref="G3:G5">
    <cfRule type="containsText" dxfId="15" priority="14" operator="containsText" text="others">
      <formula>NOT(ISERROR(SEARCH("others",G3)))</formula>
    </cfRule>
    <cfRule type="containsText" dxfId="14" priority="15" operator="containsText" text="agency">
      <formula>NOT(ISERROR(SEARCH("agency",G3)))</formula>
    </cfRule>
    <cfRule type="containsText" dxfId="13" priority="16" operator="containsText" text="Class">
      <formula>NOT(ISERROR(SEARCH("Class",G3)))</formula>
    </cfRule>
    <cfRule type="containsText" dxfId="12" priority="17" operator="containsText" text="paint">
      <formula>NOT(ISERROR(SEARCH("paint",G3)))</formula>
    </cfRule>
    <cfRule type="containsText" dxfId="11" priority="18" operator="containsText" text="Store">
      <formula>NOT(ISERROR(SEARCH("Store",G3)))</formula>
    </cfRule>
    <cfRule type="containsText" dxfId="10" priority="19" operator="containsText" text="Spare">
      <formula>NOT(ISERROR(SEARCH("Spare",G3)))</formula>
    </cfRule>
    <cfRule type="containsText" dxfId="9" priority="20" operator="containsText" text="Shore repair">
      <formula>NOT(ISERROR(SEARCH("Shore repair",G3)))</formula>
    </cfRule>
    <cfRule type="containsText" dxfId="8" priority="21" operator="containsText" text="Shipyard">
      <formula>NOT(ISERROR(SEARCH("Shipyard",G3)))</formula>
    </cfRule>
  </conditionalFormatting>
  <conditionalFormatting sqref="O7:O370">
    <cfRule type="cellIs" dxfId="7" priority="50" operator="between">
      <formula>0.01</formula>
      <formula>0.99</formula>
    </cfRule>
    <cfRule type="cellIs" dxfId="6" priority="51" operator="equal">
      <formula>0</formula>
    </cfRule>
    <cfRule type="cellIs" dxfId="5" priority="52" operator="equal">
      <formula>1</formula>
    </cfRule>
    <cfRule type="cellIs" dxfId="4" priority="53" operator="equal">
      <formula>100</formula>
    </cfRule>
  </conditionalFormatting>
  <conditionalFormatting sqref="P7:BA9 P10:R10 T10:BA10 P11:BA370">
    <cfRule type="expression" dxfId="3" priority="1">
      <formula>AND(P$6=$L$4)</formula>
    </cfRule>
    <cfRule type="expression" dxfId="2" priority="2">
      <formula>AND(P$6&gt;$K7,P$6&lt;$L7)</formula>
    </cfRule>
    <cfRule type="expression" dxfId="1" priority="8">
      <formula>AND(P$6=$L7)</formula>
    </cfRule>
    <cfRule type="expression" dxfId="0" priority="9">
      <formula>AND(P$6=$K7)</formula>
    </cfRule>
  </conditionalFormatting>
  <dataValidations count="1">
    <dataValidation type="list" allowBlank="1" showInputMessage="1" showErrorMessage="1" sqref="C7:C370" xr:uid="{7066790E-864B-44FE-834E-8186E1418446}">
      <formula1>"Shipyard, Shore Repair, Spare, Store, Paint, Class, Agency, Others"</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H103"/>
  <sheetViews>
    <sheetView workbookViewId="0">
      <selection activeCell="C4" sqref="C4"/>
    </sheetView>
  </sheetViews>
  <sheetFormatPr defaultRowHeight="15"/>
  <cols>
    <col min="1" max="1" width="2.85546875" customWidth="1"/>
    <col min="3" max="3" width="40.140625" bestFit="1" customWidth="1"/>
    <col min="4" max="4" width="53.85546875" customWidth="1"/>
    <col min="5" max="5" width="55" bestFit="1" customWidth="1"/>
    <col min="6" max="6" width="16.140625" bestFit="1" customWidth="1"/>
    <col min="7" max="7" width="12.7109375" customWidth="1"/>
    <col min="8" max="8" width="11.7109375" customWidth="1"/>
  </cols>
  <sheetData>
    <row r="2" spans="2:8" ht="24.75" customHeight="1">
      <c r="B2" s="3" t="s">
        <v>29</v>
      </c>
    </row>
    <row r="3" spans="2:8">
      <c r="B3" s="4" t="s">
        <v>26</v>
      </c>
      <c r="C3" s="4" t="s">
        <v>37</v>
      </c>
      <c r="D3" s="6" t="s">
        <v>27</v>
      </c>
      <c r="E3" s="6" t="s">
        <v>38</v>
      </c>
      <c r="F3" s="4" t="s">
        <v>39</v>
      </c>
      <c r="G3" s="4" t="s">
        <v>40</v>
      </c>
      <c r="H3" s="4" t="s">
        <v>28</v>
      </c>
    </row>
    <row r="4" spans="2:8" ht="30">
      <c r="B4" s="5">
        <v>1</v>
      </c>
      <c r="C4" s="5" t="s">
        <v>41</v>
      </c>
      <c r="D4" s="7" t="s">
        <v>42</v>
      </c>
      <c r="E4" s="7" t="s">
        <v>43</v>
      </c>
      <c r="F4" s="5" t="s">
        <v>44</v>
      </c>
      <c r="G4" s="5" t="s">
        <v>45</v>
      </c>
      <c r="H4" s="5"/>
    </row>
    <row r="5" spans="2:8" ht="30">
      <c r="B5" s="5">
        <v>2</v>
      </c>
      <c r="C5" s="5" t="s">
        <v>46</v>
      </c>
      <c r="D5" s="7" t="s">
        <v>47</v>
      </c>
      <c r="E5" s="7" t="s">
        <v>48</v>
      </c>
      <c r="F5" s="8" t="s">
        <v>16</v>
      </c>
      <c r="G5" s="5" t="s">
        <v>45</v>
      </c>
      <c r="H5" s="5"/>
    </row>
    <row r="6" spans="2:8" ht="30">
      <c r="B6" s="5">
        <v>3</v>
      </c>
      <c r="C6" s="5" t="s">
        <v>49</v>
      </c>
      <c r="D6" s="7" t="s">
        <v>50</v>
      </c>
      <c r="E6" s="7" t="s">
        <v>51</v>
      </c>
      <c r="F6" s="5" t="s">
        <v>44</v>
      </c>
      <c r="G6" s="5" t="s">
        <v>45</v>
      </c>
      <c r="H6" s="5" t="s">
        <v>45</v>
      </c>
    </row>
    <row r="7" spans="2:8">
      <c r="B7" s="5">
        <v>4</v>
      </c>
      <c r="C7" s="5" t="s">
        <v>52</v>
      </c>
      <c r="D7" s="7" t="s">
        <v>53</v>
      </c>
      <c r="E7" s="7" t="s">
        <v>54</v>
      </c>
      <c r="F7" s="5" t="s">
        <v>44</v>
      </c>
      <c r="G7" s="5" t="s">
        <v>45</v>
      </c>
      <c r="H7" s="5"/>
    </row>
    <row r="8" spans="2:8" ht="45">
      <c r="B8" s="5">
        <v>5</v>
      </c>
      <c r="C8" s="5" t="s">
        <v>55</v>
      </c>
      <c r="D8" s="7" t="s">
        <v>56</v>
      </c>
      <c r="E8" s="7" t="s">
        <v>57</v>
      </c>
      <c r="F8" s="8" t="s">
        <v>16</v>
      </c>
      <c r="G8" s="5" t="s">
        <v>45</v>
      </c>
      <c r="H8" s="5"/>
    </row>
    <row r="9" spans="2:8" ht="30">
      <c r="B9" s="5">
        <v>6</v>
      </c>
      <c r="C9" s="5" t="s">
        <v>58</v>
      </c>
      <c r="D9" s="7" t="s">
        <v>59</v>
      </c>
      <c r="E9" s="7" t="s">
        <v>60</v>
      </c>
      <c r="F9" s="5" t="s">
        <v>44</v>
      </c>
      <c r="G9" s="5" t="s">
        <v>45</v>
      </c>
      <c r="H9" s="5"/>
    </row>
    <row r="10" spans="2:8" ht="30">
      <c r="B10" s="5">
        <v>7</v>
      </c>
      <c r="C10" s="5" t="s">
        <v>61</v>
      </c>
      <c r="D10" s="7" t="s">
        <v>62</v>
      </c>
      <c r="E10" s="7" t="s">
        <v>63</v>
      </c>
      <c r="F10" s="5" t="s">
        <v>44</v>
      </c>
      <c r="G10" s="5" t="s">
        <v>45</v>
      </c>
      <c r="H10" s="5" t="s">
        <v>45</v>
      </c>
    </row>
    <row r="11" spans="2:8" ht="45">
      <c r="B11" s="5">
        <v>8</v>
      </c>
      <c r="C11" s="5" t="s">
        <v>64</v>
      </c>
      <c r="D11" s="7" t="s">
        <v>65</v>
      </c>
      <c r="E11" s="7" t="s">
        <v>66</v>
      </c>
      <c r="F11" s="5" t="s">
        <v>44</v>
      </c>
      <c r="G11" s="5" t="s">
        <v>45</v>
      </c>
      <c r="H11" s="5" t="s">
        <v>45</v>
      </c>
    </row>
    <row r="12" spans="2:8">
      <c r="B12" s="5">
        <v>9</v>
      </c>
      <c r="C12" s="5" t="s">
        <v>67</v>
      </c>
      <c r="D12" s="7"/>
      <c r="E12" s="7" t="s">
        <v>68</v>
      </c>
      <c r="F12" s="5" t="s">
        <v>44</v>
      </c>
      <c r="G12" s="5" t="s">
        <v>45</v>
      </c>
      <c r="H12" s="5" t="s">
        <v>45</v>
      </c>
    </row>
    <row r="13" spans="2:8">
      <c r="B13" s="5">
        <v>10</v>
      </c>
      <c r="C13" s="5" t="s">
        <v>69</v>
      </c>
      <c r="D13" s="7" t="s">
        <v>70</v>
      </c>
      <c r="E13" s="7" t="s">
        <v>71</v>
      </c>
      <c r="F13" s="5" t="s">
        <v>44</v>
      </c>
      <c r="G13" s="5" t="s">
        <v>45</v>
      </c>
      <c r="H13" s="5" t="s">
        <v>45</v>
      </c>
    </row>
    <row r="14" spans="2:8" ht="135">
      <c r="B14" s="9">
        <v>11</v>
      </c>
      <c r="C14" s="7" t="s">
        <v>72</v>
      </c>
      <c r="D14" s="7" t="s">
        <v>73</v>
      </c>
      <c r="E14" s="7" t="s">
        <v>74</v>
      </c>
      <c r="F14" s="9" t="s">
        <v>16</v>
      </c>
      <c r="G14" s="5" t="s">
        <v>45</v>
      </c>
      <c r="H14" s="5"/>
    </row>
    <row r="15" spans="2:8" ht="30">
      <c r="B15" s="5">
        <v>12</v>
      </c>
      <c r="C15" s="7" t="s">
        <v>75</v>
      </c>
      <c r="D15" s="7" t="s">
        <v>76</v>
      </c>
      <c r="E15" s="7" t="s">
        <v>77</v>
      </c>
      <c r="F15" s="8" t="s">
        <v>16</v>
      </c>
      <c r="G15" s="5" t="s">
        <v>78</v>
      </c>
      <c r="H15" s="5"/>
    </row>
    <row r="16" spans="2:8">
      <c r="B16" s="5">
        <v>13</v>
      </c>
      <c r="C16" s="5" t="s">
        <v>79</v>
      </c>
      <c r="D16" s="7" t="s">
        <v>80</v>
      </c>
      <c r="E16" s="7" t="s">
        <v>81</v>
      </c>
      <c r="F16" s="5" t="s">
        <v>44</v>
      </c>
      <c r="G16" s="5" t="s">
        <v>78</v>
      </c>
      <c r="H16" s="5"/>
    </row>
    <row r="17" spans="2:8">
      <c r="B17" s="5">
        <v>14</v>
      </c>
      <c r="C17" s="5" t="s">
        <v>82</v>
      </c>
      <c r="D17" s="7" t="s">
        <v>76</v>
      </c>
      <c r="E17" s="7" t="s">
        <v>77</v>
      </c>
      <c r="F17" s="8" t="s">
        <v>16</v>
      </c>
      <c r="G17" s="5" t="s">
        <v>78</v>
      </c>
      <c r="H17" s="5"/>
    </row>
    <row r="18" spans="2:8" ht="30">
      <c r="B18" s="5">
        <v>15</v>
      </c>
      <c r="C18" s="5" t="s">
        <v>83</v>
      </c>
      <c r="D18" s="7" t="s">
        <v>84</v>
      </c>
      <c r="E18" s="7" t="s">
        <v>77</v>
      </c>
      <c r="F18" s="8" t="s">
        <v>16</v>
      </c>
      <c r="G18" s="5" t="s">
        <v>78</v>
      </c>
      <c r="H18" s="5"/>
    </row>
    <row r="19" spans="2:8">
      <c r="B19" s="5">
        <v>16</v>
      </c>
      <c r="C19" s="5" t="s">
        <v>85</v>
      </c>
      <c r="D19" s="7" t="s">
        <v>86</v>
      </c>
      <c r="E19" s="7" t="s">
        <v>77</v>
      </c>
      <c r="F19" s="10" t="s">
        <v>16</v>
      </c>
      <c r="G19" s="5" t="s">
        <v>78</v>
      </c>
      <c r="H19" s="5"/>
    </row>
    <row r="20" spans="2:8" ht="45">
      <c r="B20" s="5">
        <v>17</v>
      </c>
      <c r="C20" s="5" t="s">
        <v>87</v>
      </c>
      <c r="D20" s="7" t="s">
        <v>88</v>
      </c>
      <c r="E20" s="7" t="s">
        <v>89</v>
      </c>
      <c r="F20" s="5" t="s">
        <v>44</v>
      </c>
      <c r="G20" s="5" t="s">
        <v>78</v>
      </c>
      <c r="H20" s="5"/>
    </row>
    <row r="21" spans="2:8">
      <c r="B21" s="5">
        <v>18</v>
      </c>
      <c r="C21" s="5" t="s">
        <v>90</v>
      </c>
      <c r="D21" s="7" t="s">
        <v>91</v>
      </c>
      <c r="E21" s="7" t="s">
        <v>92</v>
      </c>
      <c r="F21" s="5" t="s">
        <v>44</v>
      </c>
      <c r="G21" s="5" t="s">
        <v>78</v>
      </c>
      <c r="H21" s="5" t="s">
        <v>78</v>
      </c>
    </row>
    <row r="22" spans="2:8" ht="30">
      <c r="B22" s="5">
        <v>19</v>
      </c>
      <c r="C22" s="5" t="s">
        <v>93</v>
      </c>
      <c r="D22" s="7" t="s">
        <v>94</v>
      </c>
      <c r="E22" s="7" t="s">
        <v>77</v>
      </c>
      <c r="F22" s="8" t="s">
        <v>16</v>
      </c>
      <c r="G22" s="5" t="s">
        <v>78</v>
      </c>
      <c r="H22" s="5"/>
    </row>
    <row r="23" spans="2:8">
      <c r="B23" s="5">
        <v>20</v>
      </c>
      <c r="C23" s="5" t="s">
        <v>95</v>
      </c>
      <c r="D23" s="7" t="s">
        <v>96</v>
      </c>
      <c r="E23" s="7" t="s">
        <v>81</v>
      </c>
      <c r="F23" s="5" t="s">
        <v>44</v>
      </c>
      <c r="G23" s="5" t="s">
        <v>78</v>
      </c>
      <c r="H23" s="5"/>
    </row>
    <row r="24" spans="2:8" ht="30">
      <c r="B24" s="5">
        <v>21</v>
      </c>
      <c r="C24" s="5" t="s">
        <v>97</v>
      </c>
      <c r="D24" s="7" t="s">
        <v>98</v>
      </c>
      <c r="E24" s="7" t="s">
        <v>81</v>
      </c>
      <c r="F24" s="5" t="s">
        <v>44</v>
      </c>
      <c r="G24" s="5" t="s">
        <v>78</v>
      </c>
      <c r="H24" s="5"/>
    </row>
    <row r="25" spans="2:8">
      <c r="B25" s="5">
        <v>22</v>
      </c>
      <c r="C25" s="5" t="s">
        <v>99</v>
      </c>
      <c r="D25" s="7" t="s">
        <v>100</v>
      </c>
      <c r="E25" s="7" t="s">
        <v>92</v>
      </c>
      <c r="F25" s="5" t="s">
        <v>44</v>
      </c>
      <c r="G25" s="5" t="s">
        <v>78</v>
      </c>
      <c r="H25" s="5" t="s">
        <v>78</v>
      </c>
    </row>
    <row r="26" spans="2:8" ht="30">
      <c r="B26" s="5">
        <v>23</v>
      </c>
      <c r="C26" s="5" t="s">
        <v>101</v>
      </c>
      <c r="D26" s="7" t="s">
        <v>102</v>
      </c>
      <c r="E26" s="7" t="s">
        <v>103</v>
      </c>
      <c r="F26" s="5" t="s">
        <v>44</v>
      </c>
      <c r="G26" s="5" t="s">
        <v>78</v>
      </c>
      <c r="H26" s="5"/>
    </row>
    <row r="27" spans="2:8">
      <c r="B27" s="5">
        <v>24</v>
      </c>
      <c r="C27" s="5" t="s">
        <v>104</v>
      </c>
      <c r="D27" s="7" t="s">
        <v>105</v>
      </c>
      <c r="E27" s="7" t="s">
        <v>106</v>
      </c>
      <c r="F27" s="5" t="s">
        <v>44</v>
      </c>
      <c r="G27" s="5" t="s">
        <v>78</v>
      </c>
      <c r="H27" s="5" t="s">
        <v>78</v>
      </c>
    </row>
    <row r="28" spans="2:8">
      <c r="B28" s="5">
        <v>25</v>
      </c>
      <c r="C28" s="5" t="s">
        <v>107</v>
      </c>
      <c r="D28" s="7" t="s">
        <v>108</v>
      </c>
      <c r="E28" s="7" t="s">
        <v>109</v>
      </c>
      <c r="F28" s="5" t="s">
        <v>44</v>
      </c>
      <c r="G28" s="5" t="s">
        <v>78</v>
      </c>
      <c r="H28" s="5"/>
    </row>
    <row r="29" spans="2:8" ht="45">
      <c r="B29" s="5">
        <v>26</v>
      </c>
      <c r="C29" s="5" t="s">
        <v>110</v>
      </c>
      <c r="D29" s="7" t="s">
        <v>111</v>
      </c>
      <c r="E29" s="7" t="s">
        <v>112</v>
      </c>
      <c r="F29" s="8" t="s">
        <v>113</v>
      </c>
      <c r="G29" s="5" t="s">
        <v>78</v>
      </c>
      <c r="H29" s="5"/>
    </row>
    <row r="30" spans="2:8">
      <c r="B30" s="5">
        <v>27</v>
      </c>
      <c r="C30" s="5" t="s">
        <v>114</v>
      </c>
      <c r="D30" s="7" t="s">
        <v>115</v>
      </c>
      <c r="E30" s="7" t="s">
        <v>116</v>
      </c>
      <c r="F30" s="5" t="s">
        <v>44</v>
      </c>
      <c r="G30" s="5" t="s">
        <v>78</v>
      </c>
      <c r="H30" s="5"/>
    </row>
    <row r="31" spans="2:8">
      <c r="B31" s="5">
        <v>28</v>
      </c>
      <c r="C31" s="5" t="s">
        <v>117</v>
      </c>
      <c r="D31" s="7" t="s">
        <v>118</v>
      </c>
      <c r="E31" s="7" t="s">
        <v>119</v>
      </c>
      <c r="F31" s="8" t="s">
        <v>16</v>
      </c>
      <c r="G31" s="5" t="s">
        <v>78</v>
      </c>
      <c r="H31" s="5"/>
    </row>
    <row r="32" spans="2:8">
      <c r="B32" s="5">
        <v>29</v>
      </c>
      <c r="C32" s="5" t="s">
        <v>120</v>
      </c>
      <c r="D32" s="7" t="s">
        <v>121</v>
      </c>
      <c r="E32" s="7" t="s">
        <v>122</v>
      </c>
      <c r="F32" s="5" t="s">
        <v>44</v>
      </c>
      <c r="G32" s="5" t="s">
        <v>78</v>
      </c>
      <c r="H32" s="5" t="s">
        <v>123</v>
      </c>
    </row>
    <row r="33" spans="2:8">
      <c r="B33" s="5">
        <v>30</v>
      </c>
      <c r="C33" s="5" t="s">
        <v>124</v>
      </c>
      <c r="D33" s="7" t="s">
        <v>125</v>
      </c>
      <c r="E33" s="7"/>
      <c r="F33" s="5"/>
      <c r="G33" s="5"/>
      <c r="H33" s="5"/>
    </row>
    <row r="34" spans="2:8">
      <c r="B34" s="5">
        <v>31</v>
      </c>
      <c r="C34" s="5" t="s">
        <v>126</v>
      </c>
      <c r="D34" s="7" t="s">
        <v>127</v>
      </c>
      <c r="E34" s="7" t="s">
        <v>128</v>
      </c>
      <c r="F34" s="5"/>
      <c r="G34" s="5"/>
      <c r="H34" s="5"/>
    </row>
    <row r="35" spans="2:8">
      <c r="B35" s="5">
        <v>32</v>
      </c>
      <c r="C35" s="11" t="s">
        <v>129</v>
      </c>
      <c r="D35" s="7" t="s">
        <v>130</v>
      </c>
      <c r="E35" s="7"/>
      <c r="F35" s="5"/>
      <c r="G35" s="5"/>
      <c r="H35" s="5"/>
    </row>
    <row r="36" spans="2:8">
      <c r="B36" s="5">
        <v>33</v>
      </c>
      <c r="C36" s="5" t="s">
        <v>131</v>
      </c>
      <c r="D36" s="7"/>
      <c r="E36" s="7"/>
      <c r="F36" s="5"/>
      <c r="G36" s="5"/>
      <c r="H36" s="5"/>
    </row>
    <row r="37" spans="2:8">
      <c r="B37" s="5">
        <v>34</v>
      </c>
      <c r="C37" s="5"/>
      <c r="D37" s="7"/>
      <c r="E37" s="7"/>
      <c r="F37" s="5"/>
      <c r="G37" s="5"/>
      <c r="H37" s="5"/>
    </row>
    <row r="38" spans="2:8">
      <c r="B38" s="5">
        <v>35</v>
      </c>
      <c r="C38" s="5"/>
      <c r="D38" s="7"/>
      <c r="E38" s="7"/>
      <c r="F38" s="5"/>
      <c r="G38" s="5"/>
      <c r="H38" s="5"/>
    </row>
    <row r="39" spans="2:8">
      <c r="B39" s="5">
        <v>36</v>
      </c>
      <c r="C39" s="5"/>
      <c r="D39" s="7"/>
      <c r="E39" s="7"/>
      <c r="F39" s="5"/>
      <c r="G39" s="5"/>
      <c r="H39" s="5"/>
    </row>
    <row r="40" spans="2:8">
      <c r="B40" s="5"/>
      <c r="C40" s="5"/>
      <c r="D40" s="7"/>
      <c r="E40" s="7"/>
      <c r="F40" s="5"/>
      <c r="G40" s="5"/>
      <c r="H40" s="5"/>
    </row>
    <row r="41" spans="2:8">
      <c r="B41" s="5"/>
      <c r="C41" s="5"/>
      <c r="D41" s="7"/>
      <c r="E41" s="7"/>
      <c r="F41" s="5"/>
      <c r="G41" s="5"/>
      <c r="H41" s="5"/>
    </row>
    <row r="42" spans="2:8">
      <c r="B42" s="5"/>
      <c r="C42" s="5"/>
      <c r="D42" s="7"/>
      <c r="E42" s="7"/>
      <c r="F42" s="5"/>
      <c r="G42" s="5"/>
      <c r="H42" s="5"/>
    </row>
    <row r="43" spans="2:8">
      <c r="B43" s="5"/>
      <c r="C43" s="5"/>
      <c r="D43" s="7"/>
      <c r="E43" s="7"/>
      <c r="F43" s="5"/>
      <c r="G43" s="5"/>
      <c r="H43" s="5"/>
    </row>
    <row r="44" spans="2:8">
      <c r="B44" s="5"/>
      <c r="C44" s="5"/>
      <c r="D44" s="7"/>
      <c r="E44" s="7"/>
      <c r="F44" s="5"/>
      <c r="G44" s="5"/>
      <c r="H44" s="5"/>
    </row>
    <row r="45" spans="2:8">
      <c r="B45" s="5"/>
      <c r="C45" s="5"/>
      <c r="D45" s="7"/>
      <c r="E45" s="7"/>
      <c r="F45" s="5"/>
      <c r="G45" s="5"/>
      <c r="H45" s="5"/>
    </row>
    <row r="46" spans="2:8">
      <c r="B46" s="5"/>
      <c r="C46" s="5"/>
      <c r="D46" s="7"/>
      <c r="E46" s="7"/>
      <c r="F46" s="5"/>
      <c r="G46" s="5"/>
      <c r="H46" s="5"/>
    </row>
    <row r="47" spans="2:8">
      <c r="B47" s="5"/>
      <c r="C47" s="5"/>
      <c r="D47" s="7"/>
      <c r="E47" s="7"/>
      <c r="F47" s="5"/>
      <c r="G47" s="5"/>
      <c r="H47" s="5"/>
    </row>
    <row r="48" spans="2:8">
      <c r="B48" s="5"/>
      <c r="C48" s="5"/>
      <c r="D48" s="7"/>
      <c r="E48" s="7"/>
      <c r="F48" s="5"/>
      <c r="G48" s="5"/>
      <c r="H48" s="5"/>
    </row>
    <row r="49" spans="2:8">
      <c r="B49" s="5"/>
      <c r="C49" s="5"/>
      <c r="D49" s="7"/>
      <c r="E49" s="7"/>
      <c r="F49" s="5"/>
      <c r="G49" s="5"/>
      <c r="H49" s="5"/>
    </row>
    <row r="50" spans="2:8">
      <c r="B50" s="5"/>
      <c r="C50" s="5"/>
      <c r="D50" s="7"/>
      <c r="E50" s="7"/>
      <c r="F50" s="5"/>
      <c r="G50" s="5"/>
      <c r="H50" s="5"/>
    </row>
    <row r="51" spans="2:8">
      <c r="B51" s="5"/>
      <c r="C51" s="5"/>
      <c r="D51" s="7"/>
      <c r="E51" s="7"/>
      <c r="F51" s="5"/>
      <c r="G51" s="5"/>
      <c r="H51" s="5"/>
    </row>
    <row r="52" spans="2:8">
      <c r="B52" s="5"/>
      <c r="C52" s="5"/>
      <c r="D52" s="7"/>
      <c r="E52" s="7"/>
      <c r="F52" s="5"/>
      <c r="G52" s="5"/>
      <c r="H52" s="5"/>
    </row>
    <row r="53" spans="2:8">
      <c r="B53" s="5"/>
      <c r="C53" s="5"/>
      <c r="D53" s="7"/>
      <c r="E53" s="7"/>
      <c r="F53" s="5"/>
      <c r="G53" s="5"/>
      <c r="H53" s="5"/>
    </row>
    <row r="54" spans="2:8">
      <c r="B54" s="5"/>
      <c r="C54" s="5"/>
      <c r="D54" s="7"/>
      <c r="E54" s="7"/>
      <c r="F54" s="5"/>
      <c r="G54" s="5"/>
      <c r="H54" s="5"/>
    </row>
    <row r="55" spans="2:8">
      <c r="B55" s="5"/>
      <c r="C55" s="5"/>
      <c r="D55" s="7"/>
      <c r="E55" s="7"/>
      <c r="F55" s="5"/>
      <c r="G55" s="5"/>
      <c r="H55" s="5"/>
    </row>
    <row r="56" spans="2:8">
      <c r="B56" s="5"/>
      <c r="C56" s="5"/>
      <c r="D56" s="7"/>
      <c r="E56" s="7"/>
      <c r="F56" s="5"/>
      <c r="G56" s="5"/>
      <c r="H56" s="5"/>
    </row>
    <row r="57" spans="2:8">
      <c r="B57" s="5"/>
      <c r="C57" s="5"/>
      <c r="D57" s="7"/>
      <c r="E57" s="7"/>
      <c r="F57" s="5"/>
      <c r="G57" s="5"/>
      <c r="H57" s="5"/>
    </row>
    <row r="58" spans="2:8">
      <c r="B58" s="5"/>
      <c r="C58" s="5"/>
      <c r="D58" s="7"/>
      <c r="E58" s="7"/>
      <c r="F58" s="5"/>
      <c r="G58" s="5"/>
      <c r="H58" s="5"/>
    </row>
    <row r="59" spans="2:8">
      <c r="B59" s="5"/>
      <c r="C59" s="5"/>
      <c r="D59" s="7"/>
      <c r="E59" s="7"/>
      <c r="F59" s="5"/>
      <c r="G59" s="5"/>
      <c r="H59" s="5"/>
    </row>
    <row r="60" spans="2:8">
      <c r="B60" s="5"/>
      <c r="C60" s="5"/>
      <c r="D60" s="7"/>
      <c r="E60" s="7"/>
      <c r="F60" s="5"/>
      <c r="G60" s="5"/>
      <c r="H60" s="5"/>
    </row>
    <row r="61" spans="2:8">
      <c r="B61" s="5"/>
      <c r="C61" s="5"/>
      <c r="D61" s="7"/>
      <c r="E61" s="7"/>
      <c r="F61" s="5"/>
      <c r="G61" s="5"/>
      <c r="H61" s="5"/>
    </row>
    <row r="62" spans="2:8">
      <c r="B62" s="5"/>
      <c r="C62" s="5"/>
      <c r="D62" s="7"/>
      <c r="E62" s="7"/>
      <c r="F62" s="5"/>
      <c r="G62" s="5"/>
      <c r="H62" s="5"/>
    </row>
    <row r="63" spans="2:8">
      <c r="B63" s="5"/>
      <c r="C63" s="5"/>
      <c r="D63" s="7"/>
      <c r="E63" s="7"/>
      <c r="F63" s="5"/>
      <c r="G63" s="5"/>
      <c r="H63" s="5"/>
    </row>
    <row r="64" spans="2:8">
      <c r="B64" s="5"/>
      <c r="C64" s="5"/>
      <c r="D64" s="7"/>
      <c r="E64" s="7"/>
      <c r="F64" s="5"/>
      <c r="G64" s="5"/>
      <c r="H64" s="5"/>
    </row>
    <row r="65" spans="2:8">
      <c r="B65" s="5"/>
      <c r="C65" s="5"/>
      <c r="D65" s="7"/>
      <c r="E65" s="7"/>
      <c r="F65" s="5"/>
      <c r="G65" s="5"/>
      <c r="H65" s="5"/>
    </row>
    <row r="66" spans="2:8">
      <c r="B66" s="5"/>
      <c r="C66" s="5"/>
      <c r="D66" s="7"/>
      <c r="E66" s="7"/>
      <c r="F66" s="5"/>
      <c r="G66" s="5"/>
      <c r="H66" s="5"/>
    </row>
    <row r="67" spans="2:8">
      <c r="B67" s="5"/>
      <c r="C67" s="5"/>
      <c r="D67" s="7"/>
      <c r="E67" s="7"/>
      <c r="F67" s="5"/>
      <c r="G67" s="5"/>
      <c r="H67" s="5"/>
    </row>
    <row r="68" spans="2:8">
      <c r="B68" s="5"/>
      <c r="C68" s="5"/>
      <c r="D68" s="7"/>
      <c r="E68" s="7"/>
      <c r="F68" s="5"/>
      <c r="G68" s="5"/>
      <c r="H68" s="5"/>
    </row>
    <row r="69" spans="2:8">
      <c r="B69" s="5"/>
      <c r="C69" s="5"/>
      <c r="D69" s="7"/>
      <c r="E69" s="7"/>
      <c r="F69" s="5"/>
      <c r="G69" s="5"/>
      <c r="H69" s="5"/>
    </row>
    <row r="70" spans="2:8">
      <c r="B70" s="5"/>
      <c r="C70" s="5"/>
      <c r="D70" s="7"/>
      <c r="E70" s="7"/>
      <c r="F70" s="5"/>
      <c r="G70" s="5"/>
      <c r="H70" s="5"/>
    </row>
    <row r="71" spans="2:8">
      <c r="B71" s="5"/>
      <c r="C71" s="5"/>
      <c r="D71" s="7"/>
      <c r="E71" s="7"/>
      <c r="F71" s="5"/>
      <c r="G71" s="5"/>
      <c r="H71" s="5"/>
    </row>
    <row r="72" spans="2:8">
      <c r="B72" s="5"/>
      <c r="C72" s="5"/>
      <c r="D72" s="7"/>
      <c r="E72" s="7"/>
      <c r="F72" s="5"/>
      <c r="G72" s="5"/>
      <c r="H72" s="5"/>
    </row>
    <row r="73" spans="2:8">
      <c r="B73" s="5"/>
      <c r="C73" s="5"/>
      <c r="D73" s="7"/>
      <c r="E73" s="7"/>
      <c r="F73" s="5"/>
      <c r="G73" s="5"/>
      <c r="H73" s="5"/>
    </row>
    <row r="74" spans="2:8">
      <c r="B74" s="5"/>
      <c r="C74" s="5"/>
      <c r="D74" s="7"/>
      <c r="E74" s="7"/>
      <c r="F74" s="5"/>
      <c r="G74" s="5"/>
      <c r="H74" s="5"/>
    </row>
    <row r="75" spans="2:8">
      <c r="B75" s="5"/>
      <c r="C75" s="5"/>
      <c r="D75" s="7"/>
      <c r="E75" s="7"/>
      <c r="F75" s="5"/>
      <c r="G75" s="5"/>
      <c r="H75" s="5"/>
    </row>
    <row r="76" spans="2:8">
      <c r="B76" s="5"/>
      <c r="C76" s="5"/>
      <c r="D76" s="7"/>
      <c r="E76" s="7"/>
      <c r="F76" s="5"/>
      <c r="G76" s="5"/>
      <c r="H76" s="5"/>
    </row>
    <row r="77" spans="2:8">
      <c r="B77" s="5"/>
      <c r="C77" s="5"/>
      <c r="D77" s="7"/>
      <c r="E77" s="7"/>
      <c r="F77" s="5"/>
      <c r="G77" s="5"/>
      <c r="H77" s="5"/>
    </row>
    <row r="78" spans="2:8">
      <c r="B78" s="5"/>
      <c r="C78" s="5"/>
      <c r="D78" s="5"/>
      <c r="E78" s="5"/>
      <c r="F78" s="5"/>
      <c r="G78" s="5"/>
      <c r="H78" s="5"/>
    </row>
    <row r="79" spans="2:8">
      <c r="B79" s="5"/>
      <c r="C79" s="5"/>
      <c r="D79" s="5"/>
      <c r="E79" s="5"/>
      <c r="F79" s="5"/>
      <c r="G79" s="5"/>
      <c r="H79" s="5"/>
    </row>
    <row r="80" spans="2:8">
      <c r="B80" s="5"/>
      <c r="C80" s="5"/>
      <c r="D80" s="5"/>
      <c r="E80" s="5"/>
      <c r="F80" s="5"/>
      <c r="G80" s="5"/>
      <c r="H80" s="5"/>
    </row>
    <row r="81" spans="2:8">
      <c r="B81" s="5"/>
      <c r="C81" s="5"/>
      <c r="D81" s="5"/>
      <c r="E81" s="5"/>
      <c r="F81" s="5"/>
      <c r="G81" s="5"/>
      <c r="H81" s="5"/>
    </row>
    <row r="82" spans="2:8">
      <c r="B82" s="5"/>
      <c r="C82" s="5"/>
      <c r="D82" s="5"/>
      <c r="E82" s="5"/>
      <c r="F82" s="5"/>
      <c r="G82" s="5"/>
      <c r="H82" s="5"/>
    </row>
    <row r="83" spans="2:8">
      <c r="B83" s="5"/>
      <c r="C83" s="5"/>
      <c r="D83" s="5"/>
      <c r="E83" s="5"/>
      <c r="F83" s="5"/>
      <c r="G83" s="5"/>
      <c r="H83" s="5"/>
    </row>
    <row r="84" spans="2:8">
      <c r="B84" s="5"/>
      <c r="C84" s="5"/>
      <c r="D84" s="5"/>
      <c r="E84" s="5"/>
      <c r="F84" s="5"/>
      <c r="G84" s="5"/>
      <c r="H84" s="5"/>
    </row>
    <row r="85" spans="2:8">
      <c r="B85" s="5"/>
      <c r="C85" s="5"/>
      <c r="D85" s="5"/>
      <c r="E85" s="5"/>
      <c r="F85" s="5"/>
      <c r="G85" s="5"/>
      <c r="H85" s="5"/>
    </row>
    <row r="86" spans="2:8">
      <c r="B86" s="5"/>
      <c r="C86" s="5"/>
      <c r="D86" s="5"/>
      <c r="E86" s="5"/>
      <c r="F86" s="5"/>
      <c r="G86" s="5"/>
      <c r="H86" s="5"/>
    </row>
    <row r="87" spans="2:8">
      <c r="B87" s="5"/>
      <c r="C87" s="5"/>
      <c r="D87" s="5"/>
      <c r="E87" s="5"/>
      <c r="F87" s="5"/>
      <c r="G87" s="5"/>
      <c r="H87" s="5"/>
    </row>
    <row r="88" spans="2:8">
      <c r="B88" s="5"/>
      <c r="C88" s="5"/>
      <c r="D88" s="5"/>
      <c r="E88" s="5"/>
      <c r="F88" s="5"/>
      <c r="G88" s="5"/>
      <c r="H88" s="5"/>
    </row>
    <row r="89" spans="2:8">
      <c r="B89" s="5"/>
      <c r="C89" s="5"/>
      <c r="D89" s="5"/>
      <c r="E89" s="5"/>
      <c r="F89" s="5"/>
      <c r="G89" s="5"/>
      <c r="H89" s="5"/>
    </row>
    <row r="90" spans="2:8">
      <c r="B90" s="5"/>
      <c r="C90" s="5"/>
      <c r="D90" s="5"/>
      <c r="E90" s="5"/>
      <c r="F90" s="5"/>
      <c r="G90" s="5"/>
      <c r="H90" s="5"/>
    </row>
    <row r="91" spans="2:8">
      <c r="B91" s="5"/>
      <c r="C91" s="5"/>
      <c r="D91" s="5"/>
      <c r="E91" s="5"/>
      <c r="F91" s="5"/>
      <c r="G91" s="5"/>
      <c r="H91" s="5"/>
    </row>
    <row r="92" spans="2:8">
      <c r="B92" s="5"/>
      <c r="C92" s="5"/>
      <c r="D92" s="5"/>
      <c r="E92" s="5"/>
      <c r="F92" s="5"/>
      <c r="G92" s="5"/>
      <c r="H92" s="5"/>
    </row>
    <row r="93" spans="2:8">
      <c r="B93" s="5"/>
      <c r="C93" s="5"/>
      <c r="D93" s="5"/>
      <c r="E93" s="5"/>
      <c r="F93" s="5"/>
      <c r="G93" s="5"/>
      <c r="H93" s="5"/>
    </row>
    <row r="94" spans="2:8">
      <c r="B94" s="5"/>
      <c r="C94" s="5"/>
      <c r="D94" s="5"/>
      <c r="E94" s="5"/>
      <c r="F94" s="5"/>
      <c r="G94" s="5"/>
      <c r="H94" s="5"/>
    </row>
    <row r="95" spans="2:8">
      <c r="B95" s="5"/>
      <c r="C95" s="5"/>
      <c r="D95" s="5"/>
      <c r="E95" s="5"/>
      <c r="F95" s="5"/>
      <c r="G95" s="5"/>
      <c r="H95" s="5"/>
    </row>
    <row r="96" spans="2:8">
      <c r="B96" s="5"/>
      <c r="C96" s="5"/>
      <c r="D96" s="5"/>
      <c r="E96" s="5"/>
      <c r="F96" s="5"/>
      <c r="G96" s="5"/>
      <c r="H96" s="5"/>
    </row>
    <row r="97" spans="2:8">
      <c r="B97" s="5"/>
      <c r="C97" s="5"/>
      <c r="D97" s="5"/>
      <c r="E97" s="5"/>
      <c r="F97" s="5"/>
      <c r="G97" s="5"/>
      <c r="H97" s="5"/>
    </row>
    <row r="98" spans="2:8">
      <c r="B98" s="5"/>
      <c r="C98" s="5"/>
      <c r="D98" s="5"/>
      <c r="E98" s="5"/>
      <c r="F98" s="5"/>
      <c r="G98" s="5"/>
      <c r="H98" s="5"/>
    </row>
    <row r="99" spans="2:8">
      <c r="B99" s="5"/>
      <c r="C99" s="5"/>
      <c r="D99" s="5"/>
      <c r="E99" s="5"/>
      <c r="F99" s="5"/>
      <c r="G99" s="5"/>
      <c r="H99" s="5"/>
    </row>
    <row r="100" spans="2:8">
      <c r="B100" s="5"/>
      <c r="C100" s="5"/>
      <c r="D100" s="5"/>
      <c r="E100" s="5"/>
      <c r="F100" s="5"/>
      <c r="G100" s="5"/>
      <c r="H100" s="5"/>
    </row>
    <row r="101" spans="2:8">
      <c r="B101" s="5"/>
      <c r="C101" s="5"/>
      <c r="D101" s="5"/>
      <c r="E101" s="5"/>
      <c r="F101" s="5"/>
      <c r="G101" s="5"/>
      <c r="H101" s="5"/>
    </row>
    <row r="102" spans="2:8">
      <c r="B102" s="5"/>
      <c r="C102" s="5"/>
      <c r="D102" s="5"/>
      <c r="E102" s="5"/>
      <c r="F102" s="5"/>
      <c r="G102" s="5"/>
      <c r="H102" s="5"/>
    </row>
    <row r="103" spans="2:8">
      <c r="B103" s="5"/>
      <c r="C103" s="5"/>
      <c r="D103" s="5"/>
      <c r="E103" s="5"/>
      <c r="F103" s="5"/>
      <c r="G103" s="5"/>
      <c r="H103" s="5"/>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progress</vt:lpstr>
      <vt:lpstr>Class 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손유석</dc:creator>
  <cp:lastModifiedBy>Soldatenko, Dmitry</cp:lastModifiedBy>
  <dcterms:created xsi:type="dcterms:W3CDTF">2023-11-10T08:35:30Z</dcterms:created>
  <dcterms:modified xsi:type="dcterms:W3CDTF">2026-08-22T20:34:42Z</dcterms:modified>
</cp:coreProperties>
</file>